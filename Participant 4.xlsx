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Discounting Data\data\"/>
    </mc:Choice>
  </mc:AlternateContent>
  <bookViews>
    <workbookView xWindow="0" yWindow="0" windowWidth="20490" windowHeight="8340" activeTab="1"/>
  </bookViews>
  <sheets>
    <sheet name="411160_Discounting_exp_2025-11-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G3" i="2" l="1"/>
  <c r="F87" i="2"/>
  <c r="F83" i="2"/>
  <c r="F78" i="2"/>
  <c r="F65" i="2"/>
  <c r="F54" i="2"/>
  <c r="F48" i="2"/>
  <c r="F45" i="2"/>
  <c r="F43" i="2"/>
  <c r="F40" i="2"/>
  <c r="F38" i="2"/>
  <c r="F33" i="2"/>
  <c r="F31" i="2"/>
  <c r="F28" i="2"/>
  <c r="F16" i="2"/>
  <c r="F12" i="2"/>
  <c r="E30" i="2"/>
  <c r="E2" i="2"/>
  <c r="E86" i="2"/>
  <c r="E58" i="2"/>
  <c r="E72" i="2"/>
  <c r="E44" i="2"/>
  <c r="E73" i="2"/>
  <c r="E17" i="2"/>
  <c r="E3" i="2"/>
  <c r="E31" i="2"/>
  <c r="E87" i="2"/>
  <c r="E59" i="2"/>
  <c r="E45" i="2"/>
  <c r="E88" i="2"/>
  <c r="E4" i="2"/>
  <c r="E74" i="2"/>
  <c r="E46" i="2"/>
  <c r="E32" i="2"/>
  <c r="E60" i="2"/>
  <c r="E18" i="2"/>
  <c r="E75" i="2"/>
  <c r="E33" i="2"/>
  <c r="E61" i="2"/>
  <c r="E19" i="2"/>
  <c r="E47" i="2"/>
  <c r="E89" i="2"/>
  <c r="E5" i="2"/>
  <c r="E20" i="2"/>
  <c r="E34" i="2"/>
  <c r="E6" i="2"/>
  <c r="E90" i="2"/>
  <c r="E76" i="2"/>
  <c r="E62" i="2"/>
  <c r="E48" i="2"/>
  <c r="E35" i="2"/>
  <c r="E7" i="2"/>
  <c r="E77" i="2"/>
  <c r="E49" i="2"/>
  <c r="E63" i="2"/>
  <c r="E91" i="2"/>
  <c r="E21" i="2"/>
  <c r="E50" i="2"/>
  <c r="E36" i="2"/>
  <c r="E78" i="2"/>
  <c r="E22" i="2"/>
  <c r="E8" i="2"/>
  <c r="E92" i="2"/>
  <c r="E64" i="2"/>
  <c r="E37" i="2"/>
  <c r="E65" i="2"/>
  <c r="E93" i="2"/>
  <c r="E23" i="2"/>
  <c r="E79" i="2"/>
  <c r="E51" i="2"/>
  <c r="E9" i="2"/>
  <c r="E66" i="2"/>
  <c r="E24" i="2"/>
  <c r="E10" i="2"/>
  <c r="E94" i="2"/>
  <c r="E80" i="2"/>
  <c r="E52" i="2"/>
  <c r="E38" i="2"/>
  <c r="E11" i="2"/>
  <c r="E25" i="2"/>
  <c r="E81" i="2"/>
  <c r="E39" i="2"/>
  <c r="E53" i="2"/>
  <c r="E67" i="2"/>
  <c r="E95" i="2"/>
  <c r="E54" i="2"/>
  <c r="E12" i="2"/>
  <c r="E26" i="2"/>
  <c r="E82" i="2"/>
  <c r="E96" i="2"/>
  <c r="E68" i="2"/>
  <c r="E40" i="2"/>
  <c r="E13" i="2"/>
  <c r="E83" i="2"/>
  <c r="E97" i="2"/>
  <c r="E27" i="2"/>
  <c r="E55" i="2"/>
  <c r="E69" i="2"/>
  <c r="E41" i="2"/>
  <c r="E28" i="2"/>
  <c r="E56" i="2"/>
  <c r="E70" i="2"/>
  <c r="E84" i="2"/>
  <c r="E14" i="2"/>
  <c r="E98" i="2"/>
  <c r="E42" i="2"/>
  <c r="E57" i="2"/>
  <c r="E99" i="2"/>
  <c r="E85" i="2"/>
  <c r="E71" i="2"/>
  <c r="E43" i="2"/>
  <c r="E29" i="2"/>
  <c r="E15" i="2"/>
  <c r="E16" i="2"/>
</calcChain>
</file>

<file path=xl/sharedStrings.xml><?xml version="1.0" encoding="utf-8"?>
<sst xmlns="http://schemas.openxmlformats.org/spreadsheetml/2006/main" count="921" uniqueCount="42">
  <si>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</si>
  <si>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</si>
  <si>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</si>
  <si>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</si>
  <si>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</si>
  <si>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</si>
  <si>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</si>
  <si>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</si>
  <si>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</si>
  <si>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</si>
  <si>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</si>
  <si>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</si>
  <si>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</si>
  <si>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</si>
  <si>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</si>
  <si>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</si>
  <si>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</si>
  <si>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</si>
  <si>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</si>
  <si>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</si>
  <si>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</si>
  <si>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</si>
  <si>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</si>
  <si>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</si>
  <si>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</si>
  <si>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</si>
  <si>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</si>
  <si>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</si>
  <si>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</si>
  <si>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</si>
  <si>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</si>
  <si>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</si>
  <si>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</t>
  </si>
  <si>
    <t>None</t>
  </si>
  <si>
    <t>2025-11-05_23h47.51.005</t>
  </si>
  <si>
    <t>Discounting_exp</t>
  </si>
  <si>
    <t>2025.1.1</t>
  </si>
  <si>
    <t>2025-11-05 23h48.42.067935 +0530</t>
  </si>
  <si>
    <t>t</t>
  </si>
  <si>
    <t xml:space="preserve">k </t>
  </si>
  <si>
    <t xml:space="preserve">Geomean </t>
  </si>
  <si>
    <t>Average of Geomean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</si>
</sst>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9"/>
  <sheetViews>
    <sheetView topLeftCell="A100" workbookViewId="0">
      <selection activeCell="G1" sqref="G1:G104857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67</v>
      </c>
      <c r="B2">
        <v>75</v>
      </c>
      <c r="C2">
        <v>119</v>
      </c>
      <c r="D2">
        <v>0</v>
      </c>
      <c r="E2">
        <v>0</v>
      </c>
      <c r="F2">
        <v>0</v>
      </c>
      <c r="G2" t="s">
        <v>32</v>
      </c>
      <c r="H2">
        <v>2.97662629996193</v>
      </c>
      <c r="I2" t="s">
        <v>33</v>
      </c>
      <c r="J2">
        <v>0</v>
      </c>
      <c r="K2">
        <v>0</v>
      </c>
      <c r="L2">
        <v>0</v>
      </c>
      <c r="M2">
        <v>5</v>
      </c>
      <c r="N2">
        <v>0.128896300040651</v>
      </c>
      <c r="P2">
        <v>0.12385249999351799</v>
      </c>
      <c r="Q2">
        <v>0.128896300040651</v>
      </c>
      <c r="R2">
        <v>1.0105625999858601</v>
      </c>
      <c r="S2">
        <v>1.0105625999858601</v>
      </c>
      <c r="T2">
        <v>1.13101630000164</v>
      </c>
      <c r="U2">
        <v>4.0010314999963104</v>
      </c>
      <c r="V2" t="s">
        <v>32</v>
      </c>
      <c r="W2">
        <v>2.97662629996193</v>
      </c>
      <c r="X2" t="s">
        <v>33</v>
      </c>
      <c r="Y2">
        <v>411160</v>
      </c>
      <c r="Z2">
        <v>1</v>
      </c>
      <c r="AA2" t="s">
        <v>34</v>
      </c>
      <c r="AB2" t="s">
        <v>35</v>
      </c>
      <c r="AD2" t="s">
        <v>36</v>
      </c>
      <c r="AE2">
        <v>59.8779089411114</v>
      </c>
      <c r="AF2" t="s">
        <v>37</v>
      </c>
    </row>
    <row r="3" spans="1:32" x14ac:dyDescent="0.25">
      <c r="A3">
        <v>49</v>
      </c>
      <c r="B3">
        <v>60</v>
      </c>
      <c r="C3">
        <v>89</v>
      </c>
      <c r="D3">
        <v>1</v>
      </c>
      <c r="E3">
        <v>1</v>
      </c>
      <c r="F3">
        <v>0</v>
      </c>
      <c r="G3" t="s">
        <v>38</v>
      </c>
      <c r="H3">
        <v>1.1049198999535199</v>
      </c>
      <c r="I3" t="s">
        <v>33</v>
      </c>
      <c r="J3">
        <v>0</v>
      </c>
      <c r="K3">
        <v>1</v>
      </c>
      <c r="L3">
        <v>1</v>
      </c>
      <c r="M3">
        <v>4</v>
      </c>
      <c r="N3">
        <v>4.0148802000330699</v>
      </c>
      <c r="P3">
        <v>4.0112108000321296</v>
      </c>
      <c r="Q3">
        <v>4.0148802000330699</v>
      </c>
      <c r="R3">
        <v>5.0110070999944503</v>
      </c>
      <c r="S3">
        <v>5.0110070999944503</v>
      </c>
      <c r="T3">
        <v>5.0276493999990599</v>
      </c>
      <c r="U3">
        <v>6.1280624000355601</v>
      </c>
      <c r="V3" t="s">
        <v>38</v>
      </c>
      <c r="W3">
        <v>1.1049198999535199</v>
      </c>
      <c r="X3" t="s">
        <v>33</v>
      </c>
      <c r="Y3">
        <v>411160</v>
      </c>
      <c r="Z3">
        <v>1</v>
      </c>
      <c r="AA3" t="s">
        <v>34</v>
      </c>
      <c r="AB3" t="s">
        <v>35</v>
      </c>
      <c r="AD3" t="s">
        <v>36</v>
      </c>
      <c r="AE3">
        <v>59.8779089411114</v>
      </c>
      <c r="AF3" t="s">
        <v>37</v>
      </c>
    </row>
    <row r="4" spans="1:32" x14ac:dyDescent="0.25">
      <c r="A4">
        <v>78</v>
      </c>
      <c r="B4">
        <v>80</v>
      </c>
      <c r="C4">
        <v>162</v>
      </c>
      <c r="D4">
        <v>2</v>
      </c>
      <c r="E4">
        <v>2</v>
      </c>
      <c r="F4">
        <v>0</v>
      </c>
      <c r="G4" t="s">
        <v>32</v>
      </c>
      <c r="H4">
        <v>0.88036479998845596</v>
      </c>
      <c r="I4" t="s">
        <v>33</v>
      </c>
      <c r="J4">
        <v>0</v>
      </c>
      <c r="K4">
        <v>2</v>
      </c>
      <c r="L4">
        <v>2</v>
      </c>
      <c r="M4">
        <v>6</v>
      </c>
      <c r="N4">
        <v>6.1441143000265503</v>
      </c>
      <c r="P4">
        <v>6.1350909000029699</v>
      </c>
      <c r="Q4">
        <v>6.1441143000265503</v>
      </c>
      <c r="R4">
        <v>7.1310512000345598</v>
      </c>
      <c r="S4">
        <v>7.1310512000345598</v>
      </c>
      <c r="T4">
        <v>7.1460275999852403</v>
      </c>
      <c r="U4">
        <v>8.0136235000099898</v>
      </c>
      <c r="V4" t="s">
        <v>32</v>
      </c>
      <c r="W4">
        <v>0.88036479998845596</v>
      </c>
      <c r="X4" t="s">
        <v>33</v>
      </c>
      <c r="Y4">
        <v>411160</v>
      </c>
      <c r="Z4">
        <v>1</v>
      </c>
      <c r="AA4" t="s">
        <v>34</v>
      </c>
      <c r="AB4" t="s">
        <v>35</v>
      </c>
      <c r="AD4" t="s">
        <v>36</v>
      </c>
      <c r="AE4">
        <v>59.8779089411114</v>
      </c>
      <c r="AF4" t="s">
        <v>37</v>
      </c>
    </row>
    <row r="5" spans="1:32" x14ac:dyDescent="0.25">
      <c r="A5">
        <v>11</v>
      </c>
      <c r="B5">
        <v>30</v>
      </c>
      <c r="C5">
        <v>7</v>
      </c>
      <c r="D5">
        <v>3</v>
      </c>
      <c r="E5">
        <v>3</v>
      </c>
      <c r="F5">
        <v>0</v>
      </c>
      <c r="G5" t="s">
        <v>38</v>
      </c>
      <c r="H5">
        <v>0.55249370000092302</v>
      </c>
      <c r="I5" t="s">
        <v>33</v>
      </c>
      <c r="J5">
        <v>0</v>
      </c>
      <c r="K5">
        <v>3</v>
      </c>
      <c r="L5">
        <v>3</v>
      </c>
      <c r="M5">
        <v>0</v>
      </c>
      <c r="N5">
        <v>8.03527079999912</v>
      </c>
      <c r="P5">
        <v>8.0305557000101508</v>
      </c>
      <c r="Q5">
        <v>8.03527079999912</v>
      </c>
      <c r="R5">
        <v>9.0276607000268996</v>
      </c>
      <c r="S5">
        <v>9.0276607000268996</v>
      </c>
      <c r="T5">
        <v>9.0441583000356296</v>
      </c>
      <c r="U5">
        <v>9.5974324999842793</v>
      </c>
      <c r="V5" t="s">
        <v>38</v>
      </c>
      <c r="W5">
        <v>0.55249370000092302</v>
      </c>
      <c r="X5" t="s">
        <v>33</v>
      </c>
      <c r="Y5">
        <v>411160</v>
      </c>
      <c r="Z5">
        <v>1</v>
      </c>
      <c r="AA5" t="s">
        <v>34</v>
      </c>
      <c r="AB5" t="s">
        <v>35</v>
      </c>
      <c r="AD5" t="s">
        <v>36</v>
      </c>
      <c r="AE5">
        <v>59.8779089411114</v>
      </c>
      <c r="AF5" t="s">
        <v>37</v>
      </c>
    </row>
    <row r="6" spans="1:32" x14ac:dyDescent="0.25">
      <c r="A6">
        <v>27</v>
      </c>
      <c r="B6">
        <v>50</v>
      </c>
      <c r="C6">
        <v>21</v>
      </c>
      <c r="D6">
        <v>4</v>
      </c>
      <c r="E6">
        <v>4</v>
      </c>
      <c r="F6">
        <v>0</v>
      </c>
      <c r="G6" t="s">
        <v>38</v>
      </c>
      <c r="H6">
        <v>0.98266879998845902</v>
      </c>
      <c r="I6" t="s">
        <v>33</v>
      </c>
      <c r="J6">
        <v>0</v>
      </c>
      <c r="K6">
        <v>4</v>
      </c>
      <c r="L6">
        <v>4</v>
      </c>
      <c r="M6">
        <v>2</v>
      </c>
      <c r="N6">
        <v>9.6122946999967098</v>
      </c>
      <c r="P6">
        <v>9.6071341999922808</v>
      </c>
      <c r="Q6">
        <v>9.6122946999967098</v>
      </c>
      <c r="R6">
        <v>10.6110300000291</v>
      </c>
      <c r="S6">
        <v>10.6110300000291</v>
      </c>
      <c r="T6">
        <v>10.6110300000291</v>
      </c>
      <c r="U6">
        <v>11.5961156000266</v>
      </c>
      <c r="V6" t="s">
        <v>38</v>
      </c>
      <c r="W6">
        <v>0.98266879998845902</v>
      </c>
      <c r="X6" t="s">
        <v>33</v>
      </c>
      <c r="Y6">
        <v>411160</v>
      </c>
      <c r="Z6">
        <v>1</v>
      </c>
      <c r="AA6" t="s">
        <v>34</v>
      </c>
      <c r="AB6" t="s">
        <v>35</v>
      </c>
      <c r="AD6" t="s">
        <v>36</v>
      </c>
      <c r="AE6">
        <v>59.8779089411114</v>
      </c>
      <c r="AF6" t="s">
        <v>37</v>
      </c>
    </row>
    <row r="7" spans="1:32" x14ac:dyDescent="0.25">
      <c r="A7">
        <v>15</v>
      </c>
      <c r="B7">
        <v>35</v>
      </c>
      <c r="C7">
        <v>13</v>
      </c>
      <c r="D7">
        <v>5</v>
      </c>
      <c r="E7">
        <v>5</v>
      </c>
      <c r="F7">
        <v>0</v>
      </c>
      <c r="G7" t="s">
        <v>38</v>
      </c>
      <c r="H7">
        <v>0.74329090001992804</v>
      </c>
      <c r="I7" t="s">
        <v>33</v>
      </c>
      <c r="J7">
        <v>0</v>
      </c>
      <c r="K7">
        <v>5</v>
      </c>
      <c r="L7">
        <v>5</v>
      </c>
      <c r="M7">
        <v>1</v>
      </c>
      <c r="N7">
        <v>11.611006300023201</v>
      </c>
      <c r="P7">
        <v>11.602567600028101</v>
      </c>
      <c r="Q7">
        <v>11.611006300023201</v>
      </c>
      <c r="R7">
        <v>12.610890900017599</v>
      </c>
      <c r="S7">
        <v>12.610890900017599</v>
      </c>
      <c r="T7">
        <v>12.610890900017599</v>
      </c>
      <c r="U7">
        <v>13.3611446000286</v>
      </c>
      <c r="V7" t="s">
        <v>38</v>
      </c>
      <c r="W7">
        <v>0.74329090001992804</v>
      </c>
      <c r="X7" t="s">
        <v>33</v>
      </c>
      <c r="Y7">
        <v>411160</v>
      </c>
      <c r="Z7">
        <v>1</v>
      </c>
      <c r="AA7" t="s">
        <v>34</v>
      </c>
      <c r="AB7" t="s">
        <v>35</v>
      </c>
      <c r="AD7" t="s">
        <v>36</v>
      </c>
      <c r="AE7">
        <v>59.8779089411114</v>
      </c>
      <c r="AF7" t="s">
        <v>37</v>
      </c>
    </row>
    <row r="8" spans="1:32" x14ac:dyDescent="0.25">
      <c r="A8">
        <v>40</v>
      </c>
      <c r="B8">
        <v>55</v>
      </c>
      <c r="C8">
        <v>62</v>
      </c>
      <c r="D8">
        <v>6</v>
      </c>
      <c r="E8">
        <v>6</v>
      </c>
      <c r="F8">
        <v>0</v>
      </c>
      <c r="G8" t="s">
        <v>38</v>
      </c>
      <c r="H8">
        <v>3.0499991999822602</v>
      </c>
      <c r="I8" t="s">
        <v>33</v>
      </c>
      <c r="J8">
        <v>0</v>
      </c>
      <c r="K8">
        <v>6</v>
      </c>
      <c r="L8">
        <v>6</v>
      </c>
      <c r="M8">
        <v>3</v>
      </c>
      <c r="N8">
        <v>13.377703900041499</v>
      </c>
      <c r="P8">
        <v>13.3665460000047</v>
      </c>
      <c r="Q8">
        <v>13.377703900041499</v>
      </c>
      <c r="R8">
        <v>14.3609008000348</v>
      </c>
      <c r="S8">
        <v>14.3609008000348</v>
      </c>
      <c r="T8">
        <v>14.3781936999876</v>
      </c>
      <c r="U8">
        <v>17.4113618999836</v>
      </c>
      <c r="V8" t="s">
        <v>38</v>
      </c>
      <c r="W8">
        <v>3.0499991999822602</v>
      </c>
      <c r="X8" t="s">
        <v>33</v>
      </c>
      <c r="Y8">
        <v>411160</v>
      </c>
      <c r="Z8">
        <v>1</v>
      </c>
      <c r="AA8" t="s">
        <v>34</v>
      </c>
      <c r="AB8" t="s">
        <v>35</v>
      </c>
      <c r="AD8" t="s">
        <v>36</v>
      </c>
      <c r="AE8">
        <v>59.8779089411114</v>
      </c>
      <c r="AF8" t="s">
        <v>37</v>
      </c>
    </row>
    <row r="9" spans="1:32" x14ac:dyDescent="0.25">
      <c r="A9">
        <v>15</v>
      </c>
      <c r="B9">
        <v>35</v>
      </c>
      <c r="C9">
        <v>13</v>
      </c>
      <c r="D9">
        <v>7</v>
      </c>
      <c r="E9">
        <v>0</v>
      </c>
      <c r="F9">
        <v>1</v>
      </c>
      <c r="G9" t="s">
        <v>38</v>
      </c>
      <c r="H9">
        <v>0.80765449994942096</v>
      </c>
      <c r="I9" t="s">
        <v>33</v>
      </c>
      <c r="J9">
        <v>1</v>
      </c>
      <c r="K9">
        <v>0</v>
      </c>
      <c r="L9">
        <v>7</v>
      </c>
      <c r="M9">
        <v>1</v>
      </c>
      <c r="N9">
        <v>17.4287973000318</v>
      </c>
      <c r="P9">
        <v>17.4172034999937</v>
      </c>
      <c r="Q9">
        <v>17.4287973000318</v>
      </c>
      <c r="R9">
        <v>18.410903699987099</v>
      </c>
      <c r="S9">
        <v>18.410903699987099</v>
      </c>
      <c r="T9">
        <v>18.444926700030901</v>
      </c>
      <c r="U9">
        <v>19.228132100019099</v>
      </c>
      <c r="V9" t="s">
        <v>38</v>
      </c>
      <c r="W9">
        <v>0.80765449994942096</v>
      </c>
      <c r="X9" t="s">
        <v>33</v>
      </c>
      <c r="Y9">
        <v>411160</v>
      </c>
      <c r="Z9">
        <v>1</v>
      </c>
      <c r="AA9" t="s">
        <v>34</v>
      </c>
      <c r="AB9" t="s">
        <v>35</v>
      </c>
      <c r="AD9" t="s">
        <v>36</v>
      </c>
      <c r="AE9">
        <v>59.8779089411114</v>
      </c>
      <c r="AF9" t="s">
        <v>37</v>
      </c>
    </row>
    <row r="10" spans="1:32" x14ac:dyDescent="0.25">
      <c r="A10">
        <v>67</v>
      </c>
      <c r="B10">
        <v>75</v>
      </c>
      <c r="C10">
        <v>119</v>
      </c>
      <c r="D10">
        <v>8</v>
      </c>
      <c r="E10">
        <v>1</v>
      </c>
      <c r="F10">
        <v>1</v>
      </c>
      <c r="G10" t="s">
        <v>38</v>
      </c>
      <c r="H10">
        <v>0.67537169996649005</v>
      </c>
      <c r="I10" t="s">
        <v>33</v>
      </c>
      <c r="J10">
        <v>1</v>
      </c>
      <c r="K10">
        <v>1</v>
      </c>
      <c r="L10">
        <v>8</v>
      </c>
      <c r="M10">
        <v>5</v>
      </c>
      <c r="N10">
        <v>19.244388999999501</v>
      </c>
      <c r="P10">
        <v>19.232240399986001</v>
      </c>
      <c r="Q10">
        <v>19.244388999999501</v>
      </c>
      <c r="R10">
        <v>20.227708799997298</v>
      </c>
      <c r="S10">
        <v>20.227708799997298</v>
      </c>
      <c r="T10">
        <v>20.2449366000364</v>
      </c>
      <c r="U10">
        <v>20.912434900004801</v>
      </c>
      <c r="V10" t="s">
        <v>38</v>
      </c>
      <c r="W10">
        <v>0.67537169996649005</v>
      </c>
      <c r="X10" t="s">
        <v>33</v>
      </c>
      <c r="Y10">
        <v>411160</v>
      </c>
      <c r="Z10">
        <v>1</v>
      </c>
      <c r="AA10" t="s">
        <v>34</v>
      </c>
      <c r="AB10" t="s">
        <v>35</v>
      </c>
      <c r="AD10" t="s">
        <v>36</v>
      </c>
      <c r="AE10">
        <v>59.8779089411114</v>
      </c>
      <c r="AF10" t="s">
        <v>37</v>
      </c>
    </row>
    <row r="11" spans="1:32" x14ac:dyDescent="0.25">
      <c r="A11">
        <v>78</v>
      </c>
      <c r="B11">
        <v>80</v>
      </c>
      <c r="C11">
        <v>162</v>
      </c>
      <c r="D11">
        <v>9</v>
      </c>
      <c r="E11">
        <v>2</v>
      </c>
      <c r="F11">
        <v>1</v>
      </c>
      <c r="G11" t="s">
        <v>32</v>
      </c>
      <c r="H11">
        <v>0.25355819996911999</v>
      </c>
      <c r="I11" t="s">
        <v>33</v>
      </c>
      <c r="J11">
        <v>1</v>
      </c>
      <c r="K11">
        <v>2</v>
      </c>
      <c r="L11">
        <v>9</v>
      </c>
      <c r="M11">
        <v>6</v>
      </c>
      <c r="N11">
        <v>20.927900700015002</v>
      </c>
      <c r="P11">
        <v>20.919637200015099</v>
      </c>
      <c r="Q11">
        <v>20.927900700015002</v>
      </c>
      <c r="R11">
        <v>21.928041400038602</v>
      </c>
      <c r="S11">
        <v>21.928041400038602</v>
      </c>
      <c r="T11">
        <v>21.928041400038602</v>
      </c>
      <c r="U11">
        <v>22.1958916999865</v>
      </c>
      <c r="V11" t="s">
        <v>32</v>
      </c>
      <c r="W11">
        <v>0.25355819996911999</v>
      </c>
      <c r="X11" t="s">
        <v>33</v>
      </c>
      <c r="Y11">
        <v>411160</v>
      </c>
      <c r="Z11">
        <v>1</v>
      </c>
      <c r="AA11" t="s">
        <v>34</v>
      </c>
      <c r="AB11" t="s">
        <v>35</v>
      </c>
      <c r="AD11" t="s">
        <v>36</v>
      </c>
      <c r="AE11">
        <v>59.8779089411114</v>
      </c>
      <c r="AF11" t="s">
        <v>37</v>
      </c>
    </row>
    <row r="12" spans="1:32" x14ac:dyDescent="0.25">
      <c r="A12">
        <v>49</v>
      </c>
      <c r="B12">
        <v>60</v>
      </c>
      <c r="C12">
        <v>89</v>
      </c>
      <c r="D12">
        <v>10</v>
      </c>
      <c r="E12">
        <v>3</v>
      </c>
      <c r="F12">
        <v>1</v>
      </c>
      <c r="G12" t="s">
        <v>32</v>
      </c>
      <c r="H12">
        <v>0.27608079998753898</v>
      </c>
      <c r="I12" t="s">
        <v>33</v>
      </c>
      <c r="J12">
        <v>1</v>
      </c>
      <c r="K12">
        <v>3</v>
      </c>
      <c r="L12">
        <v>10</v>
      </c>
      <c r="M12">
        <v>4</v>
      </c>
      <c r="N12">
        <v>22.211983199988001</v>
      </c>
      <c r="P12">
        <v>22.204974899999701</v>
      </c>
      <c r="Q12">
        <v>22.211983199988001</v>
      </c>
      <c r="R12">
        <v>23.214571600023099</v>
      </c>
      <c r="S12">
        <v>23.214571600023099</v>
      </c>
      <c r="T12">
        <v>23.214571600023099</v>
      </c>
      <c r="U12">
        <v>23.498576099984302</v>
      </c>
      <c r="V12" t="s">
        <v>32</v>
      </c>
      <c r="W12">
        <v>0.27608079998753898</v>
      </c>
      <c r="X12" t="s">
        <v>33</v>
      </c>
      <c r="Y12">
        <v>411160</v>
      </c>
      <c r="Z12">
        <v>1</v>
      </c>
      <c r="AA12" t="s">
        <v>34</v>
      </c>
      <c r="AB12" t="s">
        <v>35</v>
      </c>
      <c r="AD12" t="s">
        <v>36</v>
      </c>
      <c r="AE12">
        <v>59.8779089411114</v>
      </c>
      <c r="AF12" t="s">
        <v>37</v>
      </c>
    </row>
    <row r="13" spans="1:32" x14ac:dyDescent="0.25">
      <c r="A13">
        <v>11</v>
      </c>
      <c r="B13">
        <v>30</v>
      </c>
      <c r="C13">
        <v>7</v>
      </c>
      <c r="D13">
        <v>11</v>
      </c>
      <c r="E13">
        <v>4</v>
      </c>
      <c r="F13">
        <v>1</v>
      </c>
      <c r="G13" t="s">
        <v>32</v>
      </c>
      <c r="H13">
        <v>0.37288679997436702</v>
      </c>
      <c r="I13" t="s">
        <v>33</v>
      </c>
      <c r="J13">
        <v>1</v>
      </c>
      <c r="K13">
        <v>4</v>
      </c>
      <c r="L13">
        <v>11</v>
      </c>
      <c r="M13">
        <v>0</v>
      </c>
      <c r="N13">
        <v>23.514695200021301</v>
      </c>
      <c r="P13">
        <v>23.509331100038199</v>
      </c>
      <c r="Q13">
        <v>23.514695200021301</v>
      </c>
      <c r="R13">
        <v>24.511512800003398</v>
      </c>
      <c r="S13">
        <v>24.511512800003398</v>
      </c>
      <c r="T13">
        <v>24.528053199988701</v>
      </c>
      <c r="U13">
        <v>24.894875500001898</v>
      </c>
      <c r="V13" t="s">
        <v>32</v>
      </c>
      <c r="W13">
        <v>0.37288679997436702</v>
      </c>
      <c r="X13" t="s">
        <v>33</v>
      </c>
      <c r="Y13">
        <v>411160</v>
      </c>
      <c r="Z13">
        <v>1</v>
      </c>
      <c r="AA13" t="s">
        <v>34</v>
      </c>
      <c r="AB13" t="s">
        <v>35</v>
      </c>
      <c r="AD13" t="s">
        <v>36</v>
      </c>
      <c r="AE13">
        <v>59.8779089411114</v>
      </c>
      <c r="AF13" t="s">
        <v>37</v>
      </c>
    </row>
    <row r="14" spans="1:32" x14ac:dyDescent="0.25">
      <c r="A14">
        <v>27</v>
      </c>
      <c r="B14">
        <v>50</v>
      </c>
      <c r="C14">
        <v>21</v>
      </c>
      <c r="D14">
        <v>12</v>
      </c>
      <c r="E14">
        <v>5</v>
      </c>
      <c r="F14">
        <v>1</v>
      </c>
      <c r="G14" t="s">
        <v>38</v>
      </c>
      <c r="H14">
        <v>0.34595109999645501</v>
      </c>
      <c r="I14" t="s">
        <v>33</v>
      </c>
      <c r="J14">
        <v>1</v>
      </c>
      <c r="K14">
        <v>5</v>
      </c>
      <c r="L14">
        <v>12</v>
      </c>
      <c r="M14">
        <v>2</v>
      </c>
      <c r="N14">
        <v>24.911201100039701</v>
      </c>
      <c r="P14">
        <v>24.899802100029699</v>
      </c>
      <c r="Q14">
        <v>24.911201100039701</v>
      </c>
      <c r="R14">
        <v>25.894723400007901</v>
      </c>
      <c r="S14">
        <v>25.894723400007901</v>
      </c>
      <c r="T14">
        <v>25.9121087000239</v>
      </c>
      <c r="U14">
        <v>26.245299700007301</v>
      </c>
      <c r="V14" t="s">
        <v>38</v>
      </c>
      <c r="W14">
        <v>0.34595109999645501</v>
      </c>
      <c r="X14" t="s">
        <v>33</v>
      </c>
      <c r="Y14">
        <v>411160</v>
      </c>
      <c r="Z14">
        <v>1</v>
      </c>
      <c r="AA14" t="s">
        <v>34</v>
      </c>
      <c r="AB14" t="s">
        <v>35</v>
      </c>
      <c r="AD14" t="s">
        <v>36</v>
      </c>
      <c r="AE14">
        <v>59.8779089411114</v>
      </c>
      <c r="AF14" t="s">
        <v>37</v>
      </c>
    </row>
    <row r="15" spans="1:32" x14ac:dyDescent="0.25">
      <c r="A15">
        <v>40</v>
      </c>
      <c r="B15">
        <v>55</v>
      </c>
      <c r="C15">
        <v>62</v>
      </c>
      <c r="D15">
        <v>13</v>
      </c>
      <c r="E15">
        <v>6</v>
      </c>
      <c r="F15">
        <v>1</v>
      </c>
      <c r="G15" t="s">
        <v>32</v>
      </c>
      <c r="H15">
        <v>0.308927999984007</v>
      </c>
      <c r="I15" t="s">
        <v>33</v>
      </c>
      <c r="J15">
        <v>1</v>
      </c>
      <c r="K15">
        <v>6</v>
      </c>
      <c r="L15">
        <v>13</v>
      </c>
      <c r="M15">
        <v>3</v>
      </c>
      <c r="N15">
        <v>26.261541799991299</v>
      </c>
      <c r="P15">
        <v>26.252425100014001</v>
      </c>
      <c r="Q15">
        <v>26.261541799991299</v>
      </c>
      <c r="R15">
        <v>27.2448850999935</v>
      </c>
      <c r="S15">
        <v>27.2448850999935</v>
      </c>
      <c r="T15">
        <v>27.262021200032901</v>
      </c>
      <c r="U15">
        <v>27.562074500019602</v>
      </c>
      <c r="V15" t="s">
        <v>32</v>
      </c>
      <c r="W15">
        <v>0.308927999984007</v>
      </c>
      <c r="X15" t="s">
        <v>33</v>
      </c>
      <c r="Y15">
        <v>411160</v>
      </c>
      <c r="Z15">
        <v>1</v>
      </c>
      <c r="AA15" t="s">
        <v>34</v>
      </c>
      <c r="AB15" t="s">
        <v>35</v>
      </c>
      <c r="AD15" t="s">
        <v>36</v>
      </c>
      <c r="AE15">
        <v>59.8779089411114</v>
      </c>
      <c r="AF15" t="s">
        <v>37</v>
      </c>
    </row>
    <row r="16" spans="1:32" x14ac:dyDescent="0.25">
      <c r="A16">
        <v>11</v>
      </c>
      <c r="B16">
        <v>30</v>
      </c>
      <c r="C16">
        <v>7</v>
      </c>
      <c r="D16">
        <v>14</v>
      </c>
      <c r="E16">
        <v>0</v>
      </c>
      <c r="F16">
        <v>2</v>
      </c>
      <c r="G16" t="s">
        <v>38</v>
      </c>
      <c r="H16">
        <v>0.648701399972196</v>
      </c>
      <c r="I16" t="s">
        <v>33</v>
      </c>
      <c r="J16">
        <v>2</v>
      </c>
      <c r="K16">
        <v>0</v>
      </c>
      <c r="L16">
        <v>14</v>
      </c>
      <c r="M16">
        <v>0</v>
      </c>
      <c r="N16">
        <v>27.578525800025002</v>
      </c>
      <c r="P16">
        <v>27.569824400008599</v>
      </c>
      <c r="Q16">
        <v>27.578525800025002</v>
      </c>
      <c r="R16">
        <v>28.562666799989501</v>
      </c>
      <c r="S16">
        <v>28.562666799989501</v>
      </c>
      <c r="T16">
        <v>28.579714699997499</v>
      </c>
      <c r="U16">
        <v>29.213297100039199</v>
      </c>
      <c r="V16" t="s">
        <v>38</v>
      </c>
      <c r="W16">
        <v>0.648701399972196</v>
      </c>
      <c r="X16" t="s">
        <v>33</v>
      </c>
      <c r="Y16">
        <v>411160</v>
      </c>
      <c r="Z16">
        <v>1</v>
      </c>
      <c r="AA16" t="s">
        <v>34</v>
      </c>
      <c r="AB16" t="s">
        <v>35</v>
      </c>
      <c r="AD16" t="s">
        <v>36</v>
      </c>
      <c r="AE16">
        <v>59.8779089411114</v>
      </c>
      <c r="AF16" t="s">
        <v>37</v>
      </c>
    </row>
    <row r="17" spans="1:32" x14ac:dyDescent="0.25">
      <c r="A17">
        <v>78</v>
      </c>
      <c r="B17">
        <v>80</v>
      </c>
      <c r="C17">
        <v>162</v>
      </c>
      <c r="D17">
        <v>15</v>
      </c>
      <c r="E17">
        <v>1</v>
      </c>
      <c r="F17">
        <v>2</v>
      </c>
      <c r="G17" t="s">
        <v>32</v>
      </c>
      <c r="H17">
        <v>0.29361980000976401</v>
      </c>
      <c r="I17" t="s">
        <v>33</v>
      </c>
      <c r="J17">
        <v>2</v>
      </c>
      <c r="K17">
        <v>1</v>
      </c>
      <c r="L17">
        <v>15</v>
      </c>
      <c r="M17">
        <v>6</v>
      </c>
      <c r="N17">
        <v>29.228732199990102</v>
      </c>
      <c r="P17">
        <v>29.221552700037101</v>
      </c>
      <c r="Q17">
        <v>29.228732199990102</v>
      </c>
      <c r="R17">
        <v>30.228046300006099</v>
      </c>
      <c r="S17">
        <v>30.228046300006099</v>
      </c>
      <c r="T17">
        <v>30.228046300006099</v>
      </c>
      <c r="U17">
        <v>30.5283763000043</v>
      </c>
      <c r="V17" t="s">
        <v>32</v>
      </c>
      <c r="W17">
        <v>0.29361980000976401</v>
      </c>
      <c r="X17" t="s">
        <v>33</v>
      </c>
      <c r="Y17">
        <v>411160</v>
      </c>
      <c r="Z17">
        <v>1</v>
      </c>
      <c r="AA17" t="s">
        <v>34</v>
      </c>
      <c r="AB17" t="s">
        <v>35</v>
      </c>
      <c r="AD17" t="s">
        <v>36</v>
      </c>
      <c r="AE17">
        <v>59.8779089411114</v>
      </c>
      <c r="AF17" t="s">
        <v>37</v>
      </c>
    </row>
    <row r="18" spans="1:32" x14ac:dyDescent="0.25">
      <c r="A18">
        <v>15</v>
      </c>
      <c r="B18">
        <v>35</v>
      </c>
      <c r="C18">
        <v>13</v>
      </c>
      <c r="D18">
        <v>16</v>
      </c>
      <c r="E18">
        <v>2</v>
      </c>
      <c r="F18">
        <v>2</v>
      </c>
      <c r="G18" t="s">
        <v>38</v>
      </c>
      <c r="H18">
        <v>1.4140212999773201</v>
      </c>
      <c r="I18" t="s">
        <v>33</v>
      </c>
      <c r="J18">
        <v>2</v>
      </c>
      <c r="K18">
        <v>2</v>
      </c>
      <c r="L18">
        <v>16</v>
      </c>
      <c r="M18">
        <v>1</v>
      </c>
      <c r="N18">
        <v>30.5447045000037</v>
      </c>
      <c r="P18">
        <v>30.533191700000302</v>
      </c>
      <c r="Q18">
        <v>30.5447045000037</v>
      </c>
      <c r="R18">
        <v>31.531505300023099</v>
      </c>
      <c r="S18">
        <v>31.531505300023099</v>
      </c>
      <c r="T18">
        <v>31.548792499990601</v>
      </c>
      <c r="U18">
        <v>32.962024900014498</v>
      </c>
      <c r="V18" t="s">
        <v>38</v>
      </c>
      <c r="W18">
        <v>1.4140212999773201</v>
      </c>
      <c r="X18" t="s">
        <v>33</v>
      </c>
      <c r="Y18">
        <v>411160</v>
      </c>
      <c r="Z18">
        <v>1</v>
      </c>
      <c r="AA18" t="s">
        <v>34</v>
      </c>
      <c r="AB18" t="s">
        <v>35</v>
      </c>
      <c r="AD18" t="s">
        <v>36</v>
      </c>
      <c r="AE18">
        <v>59.8779089411114</v>
      </c>
      <c r="AF18" t="s">
        <v>37</v>
      </c>
    </row>
    <row r="19" spans="1:32" x14ac:dyDescent="0.25">
      <c r="A19">
        <v>40</v>
      </c>
      <c r="B19">
        <v>55</v>
      </c>
      <c r="C19">
        <v>62</v>
      </c>
      <c r="D19">
        <v>17</v>
      </c>
      <c r="E19">
        <v>3</v>
      </c>
      <c r="F19">
        <v>2</v>
      </c>
      <c r="G19" t="s">
        <v>38</v>
      </c>
      <c r="H19">
        <v>0.91748440003720999</v>
      </c>
      <c r="I19" t="s">
        <v>33</v>
      </c>
      <c r="J19">
        <v>2</v>
      </c>
      <c r="K19">
        <v>3</v>
      </c>
      <c r="L19">
        <v>17</v>
      </c>
      <c r="M19">
        <v>3</v>
      </c>
      <c r="N19">
        <v>32.977963200013598</v>
      </c>
      <c r="P19">
        <v>32.969107899989403</v>
      </c>
      <c r="Q19">
        <v>32.977963200013598</v>
      </c>
      <c r="R19">
        <v>33.962633499992002</v>
      </c>
      <c r="S19">
        <v>33.962633499992002</v>
      </c>
      <c r="T19">
        <v>33.978847399994201</v>
      </c>
      <c r="U19">
        <v>34.880680800008101</v>
      </c>
      <c r="V19" t="s">
        <v>38</v>
      </c>
      <c r="W19">
        <v>0.91748440003720999</v>
      </c>
      <c r="X19" t="s">
        <v>33</v>
      </c>
      <c r="Y19">
        <v>411160</v>
      </c>
      <c r="Z19">
        <v>1</v>
      </c>
      <c r="AA19" t="s">
        <v>34</v>
      </c>
      <c r="AB19" t="s">
        <v>35</v>
      </c>
      <c r="AD19" t="s">
        <v>36</v>
      </c>
      <c r="AE19">
        <v>59.8779089411114</v>
      </c>
      <c r="AF19" t="s">
        <v>37</v>
      </c>
    </row>
    <row r="20" spans="1:32" x14ac:dyDescent="0.25">
      <c r="A20">
        <v>49</v>
      </c>
      <c r="B20">
        <v>60</v>
      </c>
      <c r="C20">
        <v>89</v>
      </c>
      <c r="D20">
        <v>18</v>
      </c>
      <c r="E20">
        <v>4</v>
      </c>
      <c r="F20">
        <v>2</v>
      </c>
      <c r="G20" t="s">
        <v>38</v>
      </c>
      <c r="H20">
        <v>0.72792790003586505</v>
      </c>
      <c r="I20" t="s">
        <v>33</v>
      </c>
      <c r="J20">
        <v>2</v>
      </c>
      <c r="K20">
        <v>4</v>
      </c>
      <c r="L20">
        <v>18</v>
      </c>
      <c r="M20">
        <v>4</v>
      </c>
      <c r="N20">
        <v>34.895908100006601</v>
      </c>
      <c r="P20">
        <v>34.889701100008097</v>
      </c>
      <c r="Q20">
        <v>34.895908100006601</v>
      </c>
      <c r="R20">
        <v>35.895788600027998</v>
      </c>
      <c r="S20">
        <v>35.895788600027998</v>
      </c>
      <c r="T20">
        <v>35.895788600027998</v>
      </c>
      <c r="U20">
        <v>36.629398100019898</v>
      </c>
      <c r="V20" t="s">
        <v>38</v>
      </c>
      <c r="W20">
        <v>0.72792790003586505</v>
      </c>
      <c r="X20" t="s">
        <v>33</v>
      </c>
      <c r="Y20">
        <v>411160</v>
      </c>
      <c r="Z20">
        <v>1</v>
      </c>
      <c r="AA20" t="s">
        <v>34</v>
      </c>
      <c r="AB20" t="s">
        <v>35</v>
      </c>
      <c r="AD20" t="s">
        <v>36</v>
      </c>
      <c r="AE20">
        <v>59.8779089411114</v>
      </c>
      <c r="AF20" t="s">
        <v>37</v>
      </c>
    </row>
    <row r="21" spans="1:32" x14ac:dyDescent="0.25">
      <c r="A21">
        <v>27</v>
      </c>
      <c r="B21">
        <v>50</v>
      </c>
      <c r="C21">
        <v>21</v>
      </c>
      <c r="D21">
        <v>19</v>
      </c>
      <c r="E21">
        <v>5</v>
      </c>
      <c r="F21">
        <v>2</v>
      </c>
      <c r="G21" t="s">
        <v>38</v>
      </c>
      <c r="H21">
        <v>0.866286200005561</v>
      </c>
      <c r="I21" t="s">
        <v>33</v>
      </c>
      <c r="J21">
        <v>2</v>
      </c>
      <c r="K21">
        <v>5</v>
      </c>
      <c r="L21">
        <v>19</v>
      </c>
      <c r="M21">
        <v>2</v>
      </c>
      <c r="N21">
        <v>36.646250599995199</v>
      </c>
      <c r="P21">
        <v>36.6406431000214</v>
      </c>
      <c r="Q21">
        <v>36.646250599995199</v>
      </c>
      <c r="R21">
        <v>37.645252400019601</v>
      </c>
      <c r="S21">
        <v>37.645252400019601</v>
      </c>
      <c r="T21">
        <v>37.6619876000331</v>
      </c>
      <c r="U21">
        <v>38.511998400033903</v>
      </c>
      <c r="V21" t="s">
        <v>38</v>
      </c>
      <c r="W21">
        <v>0.866286200005561</v>
      </c>
      <c r="X21" t="s">
        <v>33</v>
      </c>
      <c r="Y21">
        <v>411160</v>
      </c>
      <c r="Z21">
        <v>1</v>
      </c>
      <c r="AA21" t="s">
        <v>34</v>
      </c>
      <c r="AB21" t="s">
        <v>35</v>
      </c>
      <c r="AD21" t="s">
        <v>36</v>
      </c>
      <c r="AE21">
        <v>59.8779089411114</v>
      </c>
      <c r="AF21" t="s">
        <v>37</v>
      </c>
    </row>
    <row r="22" spans="1:32" x14ac:dyDescent="0.25">
      <c r="A22">
        <v>67</v>
      </c>
      <c r="B22">
        <v>75</v>
      </c>
      <c r="C22">
        <v>119</v>
      </c>
      <c r="D22">
        <v>20</v>
      </c>
      <c r="E22">
        <v>6</v>
      </c>
      <c r="F22">
        <v>2</v>
      </c>
      <c r="G22" t="s">
        <v>32</v>
      </c>
      <c r="H22">
        <v>0.60953339998377398</v>
      </c>
      <c r="I22" t="s">
        <v>33</v>
      </c>
      <c r="J22">
        <v>2</v>
      </c>
      <c r="K22">
        <v>6</v>
      </c>
      <c r="L22">
        <v>20</v>
      </c>
      <c r="M22">
        <v>5</v>
      </c>
      <c r="N22">
        <v>38.528401300020001</v>
      </c>
      <c r="P22">
        <v>38.5169583000242</v>
      </c>
      <c r="Q22">
        <v>38.528401300020001</v>
      </c>
      <c r="R22">
        <v>39.511904100014299</v>
      </c>
      <c r="S22">
        <v>39.511904100014299</v>
      </c>
      <c r="T22">
        <v>39.528108400001599</v>
      </c>
      <c r="U22">
        <v>40.128601000003897</v>
      </c>
      <c r="V22" t="s">
        <v>32</v>
      </c>
      <c r="W22">
        <v>0.60953339998377398</v>
      </c>
      <c r="X22" t="s">
        <v>33</v>
      </c>
      <c r="Y22">
        <v>411160</v>
      </c>
      <c r="Z22">
        <v>1</v>
      </c>
      <c r="AA22" t="s">
        <v>34</v>
      </c>
      <c r="AB22" t="s">
        <v>35</v>
      </c>
      <c r="AD22" t="s">
        <v>36</v>
      </c>
      <c r="AE22">
        <v>59.8779089411114</v>
      </c>
      <c r="AF22" t="s">
        <v>37</v>
      </c>
    </row>
    <row r="23" spans="1:32" x14ac:dyDescent="0.25">
      <c r="A23">
        <v>15</v>
      </c>
      <c r="B23">
        <v>35</v>
      </c>
      <c r="C23">
        <v>13</v>
      </c>
      <c r="D23">
        <v>21</v>
      </c>
      <c r="E23">
        <v>0</v>
      </c>
      <c r="F23">
        <v>3</v>
      </c>
      <c r="G23" t="s">
        <v>38</v>
      </c>
      <c r="H23">
        <v>0.82889849995262899</v>
      </c>
      <c r="I23" t="s">
        <v>33</v>
      </c>
      <c r="J23">
        <v>3</v>
      </c>
      <c r="K23">
        <v>0</v>
      </c>
      <c r="L23">
        <v>21</v>
      </c>
      <c r="M23">
        <v>1</v>
      </c>
      <c r="N23">
        <v>40.144795100030002</v>
      </c>
      <c r="P23">
        <v>40.1351713000331</v>
      </c>
      <c r="Q23">
        <v>40.144795100030002</v>
      </c>
      <c r="R23">
        <v>41.128517000004599</v>
      </c>
      <c r="S23">
        <v>41.128517000004599</v>
      </c>
      <c r="T23">
        <v>41.144676500000003</v>
      </c>
      <c r="U23">
        <v>41.961958800034999</v>
      </c>
      <c r="V23" t="s">
        <v>38</v>
      </c>
      <c r="W23">
        <v>0.82889849995262899</v>
      </c>
      <c r="X23" t="s">
        <v>33</v>
      </c>
      <c r="Y23">
        <v>411160</v>
      </c>
      <c r="Z23">
        <v>1</v>
      </c>
      <c r="AA23" t="s">
        <v>34</v>
      </c>
      <c r="AB23" t="s">
        <v>35</v>
      </c>
      <c r="AD23" t="s">
        <v>36</v>
      </c>
      <c r="AE23">
        <v>59.8779089411114</v>
      </c>
      <c r="AF23" t="s">
        <v>37</v>
      </c>
    </row>
    <row r="24" spans="1:32" x14ac:dyDescent="0.25">
      <c r="A24">
        <v>49</v>
      </c>
      <c r="B24">
        <v>60</v>
      </c>
      <c r="C24">
        <v>89</v>
      </c>
      <c r="D24">
        <v>22</v>
      </c>
      <c r="E24">
        <v>1</v>
      </c>
      <c r="F24">
        <v>3</v>
      </c>
      <c r="G24" t="s">
        <v>32</v>
      </c>
      <c r="H24">
        <v>1.86060569999972</v>
      </c>
      <c r="I24" t="s">
        <v>33</v>
      </c>
      <c r="J24">
        <v>3</v>
      </c>
      <c r="K24">
        <v>1</v>
      </c>
      <c r="L24">
        <v>22</v>
      </c>
      <c r="M24">
        <v>4</v>
      </c>
      <c r="N24">
        <v>41.978352200007002</v>
      </c>
      <c r="P24">
        <v>41.966632199997498</v>
      </c>
      <c r="Q24">
        <v>41.978352200007002</v>
      </c>
      <c r="R24">
        <v>42.961297400004597</v>
      </c>
      <c r="S24">
        <v>42.961297400004597</v>
      </c>
      <c r="T24">
        <v>42.977944799989899</v>
      </c>
      <c r="U24">
        <v>44.828470500011399</v>
      </c>
      <c r="V24" t="s">
        <v>32</v>
      </c>
      <c r="W24">
        <v>1.86060569999972</v>
      </c>
      <c r="X24" t="s">
        <v>33</v>
      </c>
      <c r="Y24">
        <v>411160</v>
      </c>
      <c r="Z24">
        <v>1</v>
      </c>
      <c r="AA24" t="s">
        <v>34</v>
      </c>
      <c r="AB24" t="s">
        <v>35</v>
      </c>
      <c r="AD24" t="s">
        <v>36</v>
      </c>
      <c r="AE24">
        <v>59.8779089411114</v>
      </c>
      <c r="AF24" t="s">
        <v>37</v>
      </c>
    </row>
    <row r="25" spans="1:32" x14ac:dyDescent="0.25">
      <c r="A25">
        <v>27</v>
      </c>
      <c r="B25">
        <v>50</v>
      </c>
      <c r="C25">
        <v>21</v>
      </c>
      <c r="D25">
        <v>23</v>
      </c>
      <c r="E25">
        <v>2</v>
      </c>
      <c r="F25">
        <v>3</v>
      </c>
      <c r="G25" t="s">
        <v>38</v>
      </c>
      <c r="H25">
        <v>0.87186770001426295</v>
      </c>
      <c r="I25" t="s">
        <v>33</v>
      </c>
      <c r="J25">
        <v>3</v>
      </c>
      <c r="K25">
        <v>2</v>
      </c>
      <c r="L25">
        <v>23</v>
      </c>
      <c r="M25">
        <v>2</v>
      </c>
      <c r="N25">
        <v>44.844753000012098</v>
      </c>
      <c r="P25">
        <v>44.835628700035102</v>
      </c>
      <c r="Q25">
        <v>44.844753000012098</v>
      </c>
      <c r="R25">
        <v>45.828828900004702</v>
      </c>
      <c r="S25">
        <v>45.828828900004702</v>
      </c>
      <c r="T25">
        <v>45.845950899994897</v>
      </c>
      <c r="U25">
        <v>46.713067800039397</v>
      </c>
      <c r="V25" t="s">
        <v>38</v>
      </c>
      <c r="W25">
        <v>0.87186770001426295</v>
      </c>
      <c r="X25" t="s">
        <v>33</v>
      </c>
      <c r="Y25">
        <v>411160</v>
      </c>
      <c r="Z25">
        <v>1</v>
      </c>
      <c r="AA25" t="s">
        <v>34</v>
      </c>
      <c r="AB25" t="s">
        <v>35</v>
      </c>
      <c r="AD25" t="s">
        <v>36</v>
      </c>
      <c r="AE25">
        <v>59.8779089411114</v>
      </c>
      <c r="AF25" t="s">
        <v>37</v>
      </c>
    </row>
    <row r="26" spans="1:32" x14ac:dyDescent="0.25">
      <c r="A26">
        <v>67</v>
      </c>
      <c r="B26">
        <v>75</v>
      </c>
      <c r="C26">
        <v>119</v>
      </c>
      <c r="D26">
        <v>24</v>
      </c>
      <c r="E26">
        <v>3</v>
      </c>
      <c r="F26">
        <v>3</v>
      </c>
      <c r="G26" t="s">
        <v>32</v>
      </c>
      <c r="H26">
        <v>1.06236119999084</v>
      </c>
      <c r="I26" t="s">
        <v>33</v>
      </c>
      <c r="J26">
        <v>3</v>
      </c>
      <c r="K26">
        <v>3</v>
      </c>
      <c r="L26">
        <v>24</v>
      </c>
      <c r="M26">
        <v>5</v>
      </c>
      <c r="N26">
        <v>46.729238700005197</v>
      </c>
      <c r="P26">
        <v>46.721639299998003</v>
      </c>
      <c r="Q26">
        <v>46.729238700005197</v>
      </c>
      <c r="R26">
        <v>47.7115450000274</v>
      </c>
      <c r="S26">
        <v>47.7115450000274</v>
      </c>
      <c r="T26">
        <v>47.745310500031302</v>
      </c>
      <c r="U26">
        <v>48.7819346000324</v>
      </c>
      <c r="V26" t="s">
        <v>32</v>
      </c>
      <c r="W26">
        <v>1.06236119999084</v>
      </c>
      <c r="X26" t="s">
        <v>33</v>
      </c>
      <c r="Y26">
        <v>411160</v>
      </c>
      <c r="Z26">
        <v>1</v>
      </c>
      <c r="AA26" t="s">
        <v>34</v>
      </c>
      <c r="AB26" t="s">
        <v>35</v>
      </c>
      <c r="AD26" t="s">
        <v>36</v>
      </c>
      <c r="AE26">
        <v>59.8779089411114</v>
      </c>
      <c r="AF26" t="s">
        <v>37</v>
      </c>
    </row>
    <row r="27" spans="1:32" x14ac:dyDescent="0.25">
      <c r="A27">
        <v>40</v>
      </c>
      <c r="B27">
        <v>55</v>
      </c>
      <c r="C27">
        <v>62</v>
      </c>
      <c r="D27">
        <v>25</v>
      </c>
      <c r="E27">
        <v>4</v>
      </c>
      <c r="F27">
        <v>3</v>
      </c>
      <c r="G27" t="s">
        <v>32</v>
      </c>
      <c r="H27">
        <v>0.88387009996222299</v>
      </c>
      <c r="I27" t="s">
        <v>33</v>
      </c>
      <c r="J27">
        <v>3</v>
      </c>
      <c r="K27">
        <v>4</v>
      </c>
      <c r="L27">
        <v>25</v>
      </c>
      <c r="M27">
        <v>3</v>
      </c>
      <c r="N27">
        <v>48.803351300011798</v>
      </c>
      <c r="P27">
        <v>48.798300400027003</v>
      </c>
      <c r="Q27">
        <v>48.803351300011798</v>
      </c>
      <c r="R27">
        <v>49.795265800028503</v>
      </c>
      <c r="S27">
        <v>49.795265800028503</v>
      </c>
      <c r="T27">
        <v>49.812047599989398</v>
      </c>
      <c r="U27">
        <v>50.679571299988297</v>
      </c>
      <c r="V27" t="s">
        <v>32</v>
      </c>
      <c r="W27">
        <v>0.88387009996222299</v>
      </c>
      <c r="X27" t="s">
        <v>33</v>
      </c>
      <c r="Y27">
        <v>411160</v>
      </c>
      <c r="Z27">
        <v>1</v>
      </c>
      <c r="AA27" t="s">
        <v>34</v>
      </c>
      <c r="AB27" t="s">
        <v>35</v>
      </c>
      <c r="AD27" t="s">
        <v>36</v>
      </c>
      <c r="AE27">
        <v>59.8779089411114</v>
      </c>
      <c r="AF27" t="s">
        <v>37</v>
      </c>
    </row>
    <row r="28" spans="1:32" x14ac:dyDescent="0.25">
      <c r="A28">
        <v>11</v>
      </c>
      <c r="B28">
        <v>30</v>
      </c>
      <c r="C28">
        <v>7</v>
      </c>
      <c r="D28">
        <v>26</v>
      </c>
      <c r="E28">
        <v>5</v>
      </c>
      <c r="F28">
        <v>3</v>
      </c>
      <c r="G28" t="s">
        <v>38</v>
      </c>
      <c r="H28">
        <v>0.89884949999395702</v>
      </c>
      <c r="I28" t="s">
        <v>33</v>
      </c>
      <c r="J28">
        <v>3</v>
      </c>
      <c r="K28">
        <v>5</v>
      </c>
      <c r="L28">
        <v>26</v>
      </c>
      <c r="M28">
        <v>0</v>
      </c>
      <c r="N28">
        <v>50.696910600003299</v>
      </c>
      <c r="P28">
        <v>50.684273399994701</v>
      </c>
      <c r="Q28">
        <v>50.696910600003299</v>
      </c>
      <c r="R28">
        <v>51.682612300035501</v>
      </c>
      <c r="S28">
        <v>51.682612300035501</v>
      </c>
      <c r="T28">
        <v>51.699273600010201</v>
      </c>
      <c r="U28">
        <v>52.596317799994701</v>
      </c>
      <c r="V28" t="s">
        <v>38</v>
      </c>
      <c r="W28">
        <v>0.89884949999395702</v>
      </c>
      <c r="X28" t="s">
        <v>33</v>
      </c>
      <c r="Y28">
        <v>411160</v>
      </c>
      <c r="Z28">
        <v>1</v>
      </c>
      <c r="AA28" t="s">
        <v>34</v>
      </c>
      <c r="AB28" t="s">
        <v>35</v>
      </c>
      <c r="AD28" t="s">
        <v>36</v>
      </c>
      <c r="AE28">
        <v>59.8779089411114</v>
      </c>
      <c r="AF28" t="s">
        <v>37</v>
      </c>
    </row>
    <row r="29" spans="1:32" x14ac:dyDescent="0.25">
      <c r="A29">
        <v>78</v>
      </c>
      <c r="B29">
        <v>80</v>
      </c>
      <c r="C29">
        <v>162</v>
      </c>
      <c r="D29">
        <v>27</v>
      </c>
      <c r="E29">
        <v>6</v>
      </c>
      <c r="F29">
        <v>3</v>
      </c>
      <c r="G29" t="s">
        <v>32</v>
      </c>
      <c r="H29">
        <v>1.0210818999912501</v>
      </c>
      <c r="I29" t="s">
        <v>33</v>
      </c>
      <c r="J29">
        <v>3</v>
      </c>
      <c r="K29">
        <v>6</v>
      </c>
      <c r="L29">
        <v>27</v>
      </c>
      <c r="M29">
        <v>6</v>
      </c>
      <c r="N29">
        <v>52.611971000034799</v>
      </c>
      <c r="P29">
        <v>52.601381700020198</v>
      </c>
      <c r="Q29">
        <v>52.611971000034799</v>
      </c>
      <c r="R29">
        <v>53.600217700004499</v>
      </c>
      <c r="S29">
        <v>53.600217700004499</v>
      </c>
      <c r="T29">
        <v>53.615953500033299</v>
      </c>
      <c r="U29">
        <v>54.631347500020603</v>
      </c>
      <c r="V29" t="s">
        <v>32</v>
      </c>
      <c r="W29">
        <v>1.0210818999912501</v>
      </c>
      <c r="X29" t="s">
        <v>33</v>
      </c>
      <c r="Y29">
        <v>411160</v>
      </c>
      <c r="Z29">
        <v>1</v>
      </c>
      <c r="AA29" t="s">
        <v>34</v>
      </c>
      <c r="AB29" t="s">
        <v>35</v>
      </c>
      <c r="AD29" t="s">
        <v>36</v>
      </c>
      <c r="AE29">
        <v>59.8779089411114</v>
      </c>
      <c r="AF29" t="s">
        <v>37</v>
      </c>
    </row>
    <row r="30" spans="1:32" x14ac:dyDescent="0.25">
      <c r="A30">
        <v>67</v>
      </c>
      <c r="B30">
        <v>75</v>
      </c>
      <c r="C30">
        <v>119</v>
      </c>
      <c r="D30">
        <v>28</v>
      </c>
      <c r="E30">
        <v>0</v>
      </c>
      <c r="F30">
        <v>4</v>
      </c>
      <c r="G30" t="s">
        <v>32</v>
      </c>
      <c r="H30">
        <v>0.811905100010335</v>
      </c>
      <c r="I30" t="s">
        <v>33</v>
      </c>
      <c r="J30">
        <v>4</v>
      </c>
      <c r="K30">
        <v>0</v>
      </c>
      <c r="L30">
        <v>28</v>
      </c>
      <c r="M30">
        <v>5</v>
      </c>
      <c r="N30">
        <v>54.647518899990203</v>
      </c>
      <c r="P30">
        <v>54.640217699983602</v>
      </c>
      <c r="Q30">
        <v>54.647518899990203</v>
      </c>
      <c r="R30">
        <v>55.646658200013903</v>
      </c>
      <c r="S30">
        <v>55.646658200013903</v>
      </c>
      <c r="T30">
        <v>55.663652900024303</v>
      </c>
      <c r="U30">
        <v>56.463022499985499</v>
      </c>
      <c r="V30" t="s">
        <v>32</v>
      </c>
      <c r="W30">
        <v>0.811905100010335</v>
      </c>
      <c r="X30" t="s">
        <v>33</v>
      </c>
      <c r="Y30">
        <v>411160</v>
      </c>
      <c r="Z30">
        <v>1</v>
      </c>
      <c r="AA30" t="s">
        <v>34</v>
      </c>
      <c r="AB30" t="s">
        <v>35</v>
      </c>
      <c r="AD30" t="s">
        <v>36</v>
      </c>
      <c r="AE30">
        <v>59.8779089411114</v>
      </c>
      <c r="AF30" t="s">
        <v>37</v>
      </c>
    </row>
    <row r="31" spans="1:32" x14ac:dyDescent="0.25">
      <c r="A31">
        <v>49</v>
      </c>
      <c r="B31">
        <v>60</v>
      </c>
      <c r="C31">
        <v>89</v>
      </c>
      <c r="D31">
        <v>29</v>
      </c>
      <c r="E31">
        <v>1</v>
      </c>
      <c r="F31">
        <v>4</v>
      </c>
      <c r="G31" t="s">
        <v>38</v>
      </c>
      <c r="H31">
        <v>0.80092599999625202</v>
      </c>
      <c r="I31" t="s">
        <v>33</v>
      </c>
      <c r="J31">
        <v>4</v>
      </c>
      <c r="K31">
        <v>1</v>
      </c>
      <c r="L31">
        <v>29</v>
      </c>
      <c r="M31">
        <v>4</v>
      </c>
      <c r="N31">
        <v>56.479904500010797</v>
      </c>
      <c r="P31">
        <v>56.471435600018502</v>
      </c>
      <c r="Q31">
        <v>56.479904500010797</v>
      </c>
      <c r="R31">
        <v>57.462240200024098</v>
      </c>
      <c r="S31">
        <v>57.462240200024098</v>
      </c>
      <c r="T31">
        <v>57.479174899984997</v>
      </c>
      <c r="U31">
        <v>58.264459700032603</v>
      </c>
      <c r="V31" t="s">
        <v>38</v>
      </c>
      <c r="W31">
        <v>0.80092599999625202</v>
      </c>
      <c r="X31" t="s">
        <v>33</v>
      </c>
      <c r="Y31">
        <v>411160</v>
      </c>
      <c r="Z31">
        <v>1</v>
      </c>
      <c r="AA31" t="s">
        <v>34</v>
      </c>
      <c r="AB31" t="s">
        <v>35</v>
      </c>
      <c r="AD31" t="s">
        <v>36</v>
      </c>
      <c r="AE31">
        <v>59.8779089411114</v>
      </c>
      <c r="AF31" t="s">
        <v>37</v>
      </c>
    </row>
    <row r="32" spans="1:32" x14ac:dyDescent="0.25">
      <c r="A32">
        <v>78</v>
      </c>
      <c r="B32">
        <v>80</v>
      </c>
      <c r="C32">
        <v>162</v>
      </c>
      <c r="D32">
        <v>30</v>
      </c>
      <c r="E32">
        <v>2</v>
      </c>
      <c r="F32">
        <v>4</v>
      </c>
      <c r="G32" t="s">
        <v>32</v>
      </c>
      <c r="H32">
        <v>1.62402110005496</v>
      </c>
      <c r="I32" t="s">
        <v>33</v>
      </c>
      <c r="J32">
        <v>4</v>
      </c>
      <c r="K32">
        <v>2</v>
      </c>
      <c r="L32">
        <v>30</v>
      </c>
      <c r="M32">
        <v>6</v>
      </c>
      <c r="N32">
        <v>58.280788300034999</v>
      </c>
      <c r="P32">
        <v>58.2737341999891</v>
      </c>
      <c r="Q32">
        <v>58.280788300034999</v>
      </c>
      <c r="R32">
        <v>59.263625700026701</v>
      </c>
      <c r="S32">
        <v>59.263625700026701</v>
      </c>
      <c r="T32">
        <v>59.280343900027198</v>
      </c>
      <c r="U32">
        <v>60.896561000030403</v>
      </c>
      <c r="V32" t="s">
        <v>32</v>
      </c>
      <c r="W32">
        <v>1.62402110005496</v>
      </c>
      <c r="X32" t="s">
        <v>33</v>
      </c>
      <c r="Y32">
        <v>411160</v>
      </c>
      <c r="Z32">
        <v>1</v>
      </c>
      <c r="AA32" t="s">
        <v>34</v>
      </c>
      <c r="AB32" t="s">
        <v>35</v>
      </c>
      <c r="AD32" t="s">
        <v>36</v>
      </c>
      <c r="AE32">
        <v>59.8779089411114</v>
      </c>
      <c r="AF32" t="s">
        <v>37</v>
      </c>
    </row>
    <row r="33" spans="1:32" x14ac:dyDescent="0.25">
      <c r="A33">
        <v>11</v>
      </c>
      <c r="B33">
        <v>30</v>
      </c>
      <c r="C33">
        <v>7</v>
      </c>
      <c r="D33">
        <v>31</v>
      </c>
      <c r="E33">
        <v>3</v>
      </c>
      <c r="F33">
        <v>4</v>
      </c>
      <c r="G33" t="s">
        <v>38</v>
      </c>
      <c r="H33">
        <v>2.2775336999911802</v>
      </c>
      <c r="I33" t="s">
        <v>33</v>
      </c>
      <c r="J33">
        <v>4</v>
      </c>
      <c r="K33">
        <v>3</v>
      </c>
      <c r="L33">
        <v>31</v>
      </c>
      <c r="M33">
        <v>0</v>
      </c>
      <c r="N33">
        <v>60.912470999988699</v>
      </c>
      <c r="P33">
        <v>60.903598900011197</v>
      </c>
      <c r="Q33">
        <v>60.912470999988699</v>
      </c>
      <c r="R33">
        <v>61.912338200025196</v>
      </c>
      <c r="S33">
        <v>61.912338200025196</v>
      </c>
      <c r="T33">
        <v>61.912338200025196</v>
      </c>
      <c r="U33">
        <v>64.196866600017501</v>
      </c>
      <c r="V33" t="s">
        <v>38</v>
      </c>
      <c r="W33">
        <v>2.2775336999911802</v>
      </c>
      <c r="X33" t="s">
        <v>33</v>
      </c>
      <c r="Y33">
        <v>411160</v>
      </c>
      <c r="Z33">
        <v>1</v>
      </c>
      <c r="AA33" t="s">
        <v>34</v>
      </c>
      <c r="AB33" t="s">
        <v>35</v>
      </c>
      <c r="AD33" t="s">
        <v>36</v>
      </c>
      <c r="AE33">
        <v>59.8779089411114</v>
      </c>
      <c r="AF33" t="s">
        <v>37</v>
      </c>
    </row>
    <row r="34" spans="1:32" x14ac:dyDescent="0.25">
      <c r="A34">
        <v>15</v>
      </c>
      <c r="B34">
        <v>35</v>
      </c>
      <c r="C34">
        <v>13</v>
      </c>
      <c r="D34">
        <v>32</v>
      </c>
      <c r="E34">
        <v>4</v>
      </c>
      <c r="F34">
        <v>4</v>
      </c>
      <c r="G34" t="s">
        <v>38</v>
      </c>
      <c r="H34">
        <v>0.91449579998152297</v>
      </c>
      <c r="I34" t="s">
        <v>33</v>
      </c>
      <c r="J34">
        <v>4</v>
      </c>
      <c r="K34">
        <v>4</v>
      </c>
      <c r="L34">
        <v>32</v>
      </c>
      <c r="M34">
        <v>1</v>
      </c>
      <c r="N34">
        <v>64.213419799983896</v>
      </c>
      <c r="P34">
        <v>64.203714100003694</v>
      </c>
      <c r="Q34">
        <v>64.213419799983896</v>
      </c>
      <c r="R34">
        <v>65.195781500020502</v>
      </c>
      <c r="S34">
        <v>65.195781500020502</v>
      </c>
      <c r="T34">
        <v>65.2129039000137</v>
      </c>
      <c r="U34">
        <v>66.113344600016703</v>
      </c>
      <c r="V34" t="s">
        <v>38</v>
      </c>
      <c r="W34">
        <v>0.91449579998152297</v>
      </c>
      <c r="X34" t="s">
        <v>33</v>
      </c>
      <c r="Y34">
        <v>411160</v>
      </c>
      <c r="Z34">
        <v>1</v>
      </c>
      <c r="AA34" t="s">
        <v>34</v>
      </c>
      <c r="AB34" t="s">
        <v>35</v>
      </c>
      <c r="AD34" t="s">
        <v>36</v>
      </c>
      <c r="AE34">
        <v>59.8779089411114</v>
      </c>
      <c r="AF34" t="s">
        <v>37</v>
      </c>
    </row>
    <row r="35" spans="1:32" x14ac:dyDescent="0.25">
      <c r="A35">
        <v>27</v>
      </c>
      <c r="B35">
        <v>50</v>
      </c>
      <c r="C35">
        <v>21</v>
      </c>
      <c r="D35">
        <v>33</v>
      </c>
      <c r="E35">
        <v>5</v>
      </c>
      <c r="F35">
        <v>4</v>
      </c>
      <c r="G35" t="s">
        <v>38</v>
      </c>
      <c r="H35">
        <v>1.79045540001243</v>
      </c>
      <c r="I35" t="s">
        <v>33</v>
      </c>
      <c r="J35">
        <v>4</v>
      </c>
      <c r="K35">
        <v>5</v>
      </c>
      <c r="L35">
        <v>33</v>
      </c>
      <c r="M35">
        <v>2</v>
      </c>
      <c r="N35">
        <v>66.129016600025295</v>
      </c>
      <c r="P35">
        <v>66.118753399990894</v>
      </c>
      <c r="Q35">
        <v>66.129016600025295</v>
      </c>
      <c r="R35">
        <v>67.113235400000093</v>
      </c>
      <c r="S35">
        <v>67.113235400000093</v>
      </c>
      <c r="T35">
        <v>67.129776599991601</v>
      </c>
      <c r="U35">
        <v>68.913718900003005</v>
      </c>
      <c r="V35" t="s">
        <v>38</v>
      </c>
      <c r="W35">
        <v>1.79045540001243</v>
      </c>
      <c r="X35" t="s">
        <v>33</v>
      </c>
      <c r="Y35">
        <v>411160</v>
      </c>
      <c r="Z35">
        <v>1</v>
      </c>
      <c r="AA35" t="s">
        <v>34</v>
      </c>
      <c r="AB35" t="s">
        <v>35</v>
      </c>
      <c r="AD35" t="s">
        <v>36</v>
      </c>
      <c r="AE35">
        <v>59.8779089411114</v>
      </c>
      <c r="AF35" t="s">
        <v>37</v>
      </c>
    </row>
    <row r="36" spans="1:32" x14ac:dyDescent="0.25">
      <c r="A36">
        <v>40</v>
      </c>
      <c r="B36">
        <v>55</v>
      </c>
      <c r="C36">
        <v>62</v>
      </c>
      <c r="D36">
        <v>34</v>
      </c>
      <c r="E36">
        <v>6</v>
      </c>
      <c r="F36">
        <v>4</v>
      </c>
      <c r="G36" t="s">
        <v>32</v>
      </c>
      <c r="H36">
        <v>1.4847586000105299</v>
      </c>
      <c r="I36" t="s">
        <v>33</v>
      </c>
      <c r="J36">
        <v>4</v>
      </c>
      <c r="K36">
        <v>6</v>
      </c>
      <c r="L36">
        <v>34</v>
      </c>
      <c r="M36">
        <v>3</v>
      </c>
      <c r="N36">
        <v>68.929853500041602</v>
      </c>
      <c r="P36">
        <v>68.920615400013006</v>
      </c>
      <c r="Q36">
        <v>68.929853500041602</v>
      </c>
      <c r="R36">
        <v>69.913929200032698</v>
      </c>
      <c r="S36">
        <v>69.913929200032698</v>
      </c>
      <c r="T36">
        <v>69.9305844000191</v>
      </c>
      <c r="U36">
        <v>71.414359399990602</v>
      </c>
      <c r="V36" t="s">
        <v>32</v>
      </c>
      <c r="W36">
        <v>1.4847586000105299</v>
      </c>
      <c r="X36" t="s">
        <v>33</v>
      </c>
      <c r="Y36">
        <v>411160</v>
      </c>
      <c r="Z36">
        <v>1</v>
      </c>
      <c r="AA36" t="s">
        <v>34</v>
      </c>
      <c r="AB36" t="s">
        <v>35</v>
      </c>
      <c r="AD36" t="s">
        <v>36</v>
      </c>
      <c r="AE36">
        <v>59.8779089411114</v>
      </c>
      <c r="AF36" t="s">
        <v>37</v>
      </c>
    </row>
    <row r="37" spans="1:32" x14ac:dyDescent="0.25">
      <c r="A37">
        <v>49</v>
      </c>
      <c r="B37">
        <v>60</v>
      </c>
      <c r="C37">
        <v>89</v>
      </c>
      <c r="D37">
        <v>35</v>
      </c>
      <c r="E37">
        <v>0</v>
      </c>
      <c r="F37">
        <v>5</v>
      </c>
      <c r="G37" t="s">
        <v>38</v>
      </c>
      <c r="H37">
        <v>3.0469723999849498</v>
      </c>
      <c r="I37" t="s">
        <v>33</v>
      </c>
      <c r="J37">
        <v>5</v>
      </c>
      <c r="K37">
        <v>0</v>
      </c>
      <c r="L37">
        <v>35</v>
      </c>
      <c r="M37">
        <v>4</v>
      </c>
      <c r="N37">
        <v>71.429374700004701</v>
      </c>
      <c r="P37">
        <v>71.421237500035204</v>
      </c>
      <c r="Q37">
        <v>71.429374700004701</v>
      </c>
      <c r="R37">
        <v>72.429686299990806</v>
      </c>
      <c r="S37">
        <v>72.429686299990806</v>
      </c>
      <c r="T37">
        <v>72.429686299990806</v>
      </c>
      <c r="U37">
        <v>75.479786399984704</v>
      </c>
      <c r="V37" t="s">
        <v>38</v>
      </c>
      <c r="W37">
        <v>3.0469723999849498</v>
      </c>
      <c r="X37" t="s">
        <v>33</v>
      </c>
      <c r="Y37">
        <v>411160</v>
      </c>
      <c r="Z37">
        <v>1</v>
      </c>
      <c r="AA37" t="s">
        <v>34</v>
      </c>
      <c r="AB37" t="s">
        <v>35</v>
      </c>
      <c r="AD37" t="s">
        <v>36</v>
      </c>
      <c r="AE37">
        <v>59.8779089411114</v>
      </c>
      <c r="AF37" t="s">
        <v>37</v>
      </c>
    </row>
    <row r="38" spans="1:32" x14ac:dyDescent="0.25">
      <c r="A38">
        <v>78</v>
      </c>
      <c r="B38">
        <v>80</v>
      </c>
      <c r="C38">
        <v>162</v>
      </c>
      <c r="D38">
        <v>36</v>
      </c>
      <c r="E38">
        <v>1</v>
      </c>
      <c r="F38">
        <v>5</v>
      </c>
      <c r="G38" t="s">
        <v>32</v>
      </c>
      <c r="H38">
        <v>1.6131644999841199</v>
      </c>
      <c r="I38" t="s">
        <v>33</v>
      </c>
      <c r="J38">
        <v>5</v>
      </c>
      <c r="K38">
        <v>1</v>
      </c>
      <c r="L38">
        <v>36</v>
      </c>
      <c r="M38">
        <v>6</v>
      </c>
      <c r="N38">
        <v>75.495963699999194</v>
      </c>
      <c r="P38">
        <v>75.484368600009404</v>
      </c>
      <c r="Q38">
        <v>75.495963699999194</v>
      </c>
      <c r="R38">
        <v>76.479474499996201</v>
      </c>
      <c r="S38">
        <v>76.479474499996201</v>
      </c>
      <c r="T38">
        <v>76.4960891000228</v>
      </c>
      <c r="U38">
        <v>78.096533600008101</v>
      </c>
      <c r="V38" t="s">
        <v>32</v>
      </c>
      <c r="W38">
        <v>1.6131644999841199</v>
      </c>
      <c r="X38" t="s">
        <v>33</v>
      </c>
      <c r="Y38">
        <v>411160</v>
      </c>
      <c r="Z38">
        <v>1</v>
      </c>
      <c r="AA38" t="s">
        <v>34</v>
      </c>
      <c r="AB38" t="s">
        <v>35</v>
      </c>
      <c r="AD38" t="s">
        <v>36</v>
      </c>
      <c r="AE38">
        <v>59.8779089411114</v>
      </c>
      <c r="AF38" t="s">
        <v>37</v>
      </c>
    </row>
    <row r="39" spans="1:32" x14ac:dyDescent="0.25">
      <c r="A39">
        <v>15</v>
      </c>
      <c r="B39">
        <v>35</v>
      </c>
      <c r="C39">
        <v>13</v>
      </c>
      <c r="D39">
        <v>37</v>
      </c>
      <c r="E39">
        <v>2</v>
      </c>
      <c r="F39">
        <v>5</v>
      </c>
      <c r="G39" t="s">
        <v>38</v>
      </c>
      <c r="H39">
        <v>0.99158559995703399</v>
      </c>
      <c r="I39" t="s">
        <v>33</v>
      </c>
      <c r="J39">
        <v>5</v>
      </c>
      <c r="K39">
        <v>2</v>
      </c>
      <c r="L39">
        <v>37</v>
      </c>
      <c r="M39">
        <v>1</v>
      </c>
      <c r="N39">
        <v>78.112674000032698</v>
      </c>
      <c r="P39">
        <v>78.101318100001606</v>
      </c>
      <c r="Q39">
        <v>78.112674000032698</v>
      </c>
      <c r="R39">
        <v>79.098869300039894</v>
      </c>
      <c r="S39">
        <v>79.098869300039894</v>
      </c>
      <c r="T39">
        <v>79.114618799998397</v>
      </c>
      <c r="U39">
        <v>80.097094100026794</v>
      </c>
      <c r="V39" t="s">
        <v>38</v>
      </c>
      <c r="W39">
        <v>0.99158559995703399</v>
      </c>
      <c r="X39" t="s">
        <v>33</v>
      </c>
      <c r="Y39">
        <v>411160</v>
      </c>
      <c r="Z39">
        <v>1</v>
      </c>
      <c r="AA39" t="s">
        <v>34</v>
      </c>
      <c r="AB39" t="s">
        <v>35</v>
      </c>
      <c r="AD39" t="s">
        <v>36</v>
      </c>
      <c r="AE39">
        <v>59.8779089411114</v>
      </c>
      <c r="AF39" t="s">
        <v>37</v>
      </c>
    </row>
    <row r="40" spans="1:32" x14ac:dyDescent="0.25">
      <c r="A40">
        <v>40</v>
      </c>
      <c r="B40">
        <v>55</v>
      </c>
      <c r="C40">
        <v>62</v>
      </c>
      <c r="D40">
        <v>38</v>
      </c>
      <c r="E40">
        <v>3</v>
      </c>
      <c r="F40">
        <v>5</v>
      </c>
      <c r="G40" t="s">
        <v>38</v>
      </c>
      <c r="H40">
        <v>1.5690506999962901</v>
      </c>
      <c r="I40" t="s">
        <v>33</v>
      </c>
      <c r="J40">
        <v>5</v>
      </c>
      <c r="K40">
        <v>3</v>
      </c>
      <c r="L40">
        <v>38</v>
      </c>
      <c r="M40">
        <v>3</v>
      </c>
      <c r="N40">
        <v>80.113279599987393</v>
      </c>
      <c r="P40">
        <v>80.104115099995397</v>
      </c>
      <c r="Q40">
        <v>80.113279599987393</v>
      </c>
      <c r="R40">
        <v>81.097740500001194</v>
      </c>
      <c r="S40">
        <v>81.097740500001194</v>
      </c>
      <c r="T40">
        <v>81.113782900036298</v>
      </c>
      <c r="U40">
        <v>82.680356500030001</v>
      </c>
      <c r="V40" t="s">
        <v>38</v>
      </c>
      <c r="W40">
        <v>1.5690506999962901</v>
      </c>
      <c r="X40" t="s">
        <v>33</v>
      </c>
      <c r="Y40">
        <v>411160</v>
      </c>
      <c r="Z40">
        <v>1</v>
      </c>
      <c r="AA40" t="s">
        <v>34</v>
      </c>
      <c r="AB40" t="s">
        <v>35</v>
      </c>
      <c r="AD40" t="s">
        <v>36</v>
      </c>
      <c r="AE40">
        <v>59.8779089411114</v>
      </c>
      <c r="AF40" t="s">
        <v>37</v>
      </c>
    </row>
    <row r="41" spans="1:32" x14ac:dyDescent="0.25">
      <c r="A41">
        <v>27</v>
      </c>
      <c r="B41">
        <v>50</v>
      </c>
      <c r="C41">
        <v>21</v>
      </c>
      <c r="D41">
        <v>39</v>
      </c>
      <c r="E41">
        <v>4</v>
      </c>
      <c r="F41">
        <v>5</v>
      </c>
      <c r="G41" t="s">
        <v>32</v>
      </c>
      <c r="H41">
        <v>2.7189392000436698</v>
      </c>
      <c r="I41" t="s">
        <v>33</v>
      </c>
      <c r="J41">
        <v>5</v>
      </c>
      <c r="K41">
        <v>4</v>
      </c>
      <c r="L41">
        <v>39</v>
      </c>
      <c r="M41">
        <v>2</v>
      </c>
      <c r="N41">
        <v>82.696218100027096</v>
      </c>
      <c r="P41">
        <v>82.6873862000065</v>
      </c>
      <c r="Q41">
        <v>82.696218100027096</v>
      </c>
      <c r="R41">
        <v>83.682072900002794</v>
      </c>
      <c r="S41">
        <v>83.682072900002794</v>
      </c>
      <c r="T41">
        <v>83.698196800018195</v>
      </c>
      <c r="U41">
        <v>86.413316700025405</v>
      </c>
      <c r="V41" t="s">
        <v>32</v>
      </c>
      <c r="W41">
        <v>2.7189392000436698</v>
      </c>
      <c r="X41" t="s">
        <v>33</v>
      </c>
      <c r="Y41">
        <v>411160</v>
      </c>
      <c r="Z41">
        <v>1</v>
      </c>
      <c r="AA41" t="s">
        <v>34</v>
      </c>
      <c r="AB41" t="s">
        <v>35</v>
      </c>
      <c r="AD41" t="s">
        <v>36</v>
      </c>
      <c r="AE41">
        <v>59.8779089411114</v>
      </c>
      <c r="AF41" t="s">
        <v>37</v>
      </c>
    </row>
    <row r="42" spans="1:32" x14ac:dyDescent="0.25">
      <c r="A42">
        <v>11</v>
      </c>
      <c r="B42">
        <v>30</v>
      </c>
      <c r="C42">
        <v>7</v>
      </c>
      <c r="D42">
        <v>40</v>
      </c>
      <c r="E42">
        <v>5</v>
      </c>
      <c r="F42">
        <v>5</v>
      </c>
      <c r="G42" t="s">
        <v>38</v>
      </c>
      <c r="H42">
        <v>1.18804729997646</v>
      </c>
      <c r="I42" t="s">
        <v>33</v>
      </c>
      <c r="J42">
        <v>5</v>
      </c>
      <c r="K42">
        <v>5</v>
      </c>
      <c r="L42">
        <v>40</v>
      </c>
      <c r="M42">
        <v>0</v>
      </c>
      <c r="N42">
        <v>86.430765500001101</v>
      </c>
      <c r="P42">
        <v>86.419322300003799</v>
      </c>
      <c r="Q42">
        <v>86.430765500001101</v>
      </c>
      <c r="R42">
        <v>87.414841699996003</v>
      </c>
      <c r="S42">
        <v>87.414841699996003</v>
      </c>
      <c r="T42">
        <v>87.433611000014906</v>
      </c>
      <c r="U42">
        <v>88.615667000005402</v>
      </c>
      <c r="V42" t="s">
        <v>38</v>
      </c>
      <c r="W42">
        <v>1.18804729997646</v>
      </c>
      <c r="X42" t="s">
        <v>33</v>
      </c>
      <c r="Y42">
        <v>411160</v>
      </c>
      <c r="Z42">
        <v>1</v>
      </c>
      <c r="AA42" t="s">
        <v>34</v>
      </c>
      <c r="AB42" t="s">
        <v>35</v>
      </c>
      <c r="AD42" t="s">
        <v>36</v>
      </c>
      <c r="AE42">
        <v>59.8779089411114</v>
      </c>
      <c r="AF42" t="s">
        <v>37</v>
      </c>
    </row>
    <row r="43" spans="1:32" x14ac:dyDescent="0.25">
      <c r="A43">
        <v>67</v>
      </c>
      <c r="B43">
        <v>75</v>
      </c>
      <c r="C43">
        <v>119</v>
      </c>
      <c r="D43">
        <v>41</v>
      </c>
      <c r="E43">
        <v>6</v>
      </c>
      <c r="F43">
        <v>5</v>
      </c>
      <c r="G43" t="s">
        <v>32</v>
      </c>
      <c r="H43">
        <v>0.78482599998824298</v>
      </c>
      <c r="I43" t="s">
        <v>33</v>
      </c>
      <c r="J43">
        <v>5</v>
      </c>
      <c r="K43">
        <v>6</v>
      </c>
      <c r="L43">
        <v>41</v>
      </c>
      <c r="M43">
        <v>5</v>
      </c>
      <c r="N43">
        <v>88.631804000004195</v>
      </c>
      <c r="P43">
        <v>88.625530600023893</v>
      </c>
      <c r="Q43">
        <v>88.631804000004195</v>
      </c>
      <c r="R43">
        <v>89.630103600036804</v>
      </c>
      <c r="S43">
        <v>89.630103600036804</v>
      </c>
      <c r="T43">
        <v>89.646592000033706</v>
      </c>
      <c r="U43">
        <v>90.417268700024493</v>
      </c>
      <c r="V43" t="s">
        <v>32</v>
      </c>
      <c r="W43">
        <v>0.78482599998824298</v>
      </c>
      <c r="X43" t="s">
        <v>33</v>
      </c>
      <c r="Y43">
        <v>411160</v>
      </c>
      <c r="Z43">
        <v>1</v>
      </c>
      <c r="AA43" t="s">
        <v>34</v>
      </c>
      <c r="AB43" t="s">
        <v>35</v>
      </c>
      <c r="AD43" t="s">
        <v>36</v>
      </c>
      <c r="AE43">
        <v>59.8779089411114</v>
      </c>
      <c r="AF43" t="s">
        <v>37</v>
      </c>
    </row>
    <row r="44" spans="1:32" x14ac:dyDescent="0.25">
      <c r="A44">
        <v>40</v>
      </c>
      <c r="B44">
        <v>55</v>
      </c>
      <c r="C44">
        <v>62</v>
      </c>
      <c r="D44">
        <v>42</v>
      </c>
      <c r="E44">
        <v>0</v>
      </c>
      <c r="F44">
        <v>6</v>
      </c>
      <c r="G44" t="s">
        <v>38</v>
      </c>
      <c r="H44">
        <v>1.1335855000070201</v>
      </c>
      <c r="I44" t="s">
        <v>33</v>
      </c>
      <c r="J44">
        <v>6</v>
      </c>
      <c r="K44">
        <v>0</v>
      </c>
      <c r="L44">
        <v>42</v>
      </c>
      <c r="M44">
        <v>3</v>
      </c>
      <c r="N44">
        <v>90.435572299989801</v>
      </c>
      <c r="P44">
        <v>90.430650299996998</v>
      </c>
      <c r="Q44">
        <v>90.435572299989801</v>
      </c>
      <c r="R44">
        <v>91.431180300016393</v>
      </c>
      <c r="S44">
        <v>91.431180300016393</v>
      </c>
      <c r="T44">
        <v>91.447984200029097</v>
      </c>
      <c r="U44">
        <v>92.580532799998707</v>
      </c>
      <c r="V44" t="s">
        <v>38</v>
      </c>
      <c r="W44">
        <v>1.1335855000070201</v>
      </c>
      <c r="X44" t="s">
        <v>33</v>
      </c>
      <c r="Y44">
        <v>411160</v>
      </c>
      <c r="Z44">
        <v>1</v>
      </c>
      <c r="AA44" t="s">
        <v>34</v>
      </c>
      <c r="AB44" t="s">
        <v>35</v>
      </c>
      <c r="AD44" t="s">
        <v>36</v>
      </c>
      <c r="AE44">
        <v>59.8779089411114</v>
      </c>
      <c r="AF44" t="s">
        <v>37</v>
      </c>
    </row>
    <row r="45" spans="1:32" x14ac:dyDescent="0.25">
      <c r="A45">
        <v>49</v>
      </c>
      <c r="B45">
        <v>60</v>
      </c>
      <c r="C45">
        <v>89</v>
      </c>
      <c r="D45">
        <v>43</v>
      </c>
      <c r="E45">
        <v>1</v>
      </c>
      <c r="F45">
        <v>6</v>
      </c>
      <c r="G45" t="s">
        <v>38</v>
      </c>
      <c r="H45">
        <v>2.1187102000112601</v>
      </c>
      <c r="I45" t="s">
        <v>33</v>
      </c>
      <c r="J45">
        <v>6</v>
      </c>
      <c r="K45">
        <v>1</v>
      </c>
      <c r="L45">
        <v>43</v>
      </c>
      <c r="M45">
        <v>4</v>
      </c>
      <c r="N45">
        <v>92.596727800031601</v>
      </c>
      <c r="P45">
        <v>92.588527599989902</v>
      </c>
      <c r="Q45">
        <v>92.596727800031601</v>
      </c>
      <c r="R45">
        <v>93.580516699992501</v>
      </c>
      <c r="S45">
        <v>93.580516699992501</v>
      </c>
      <c r="T45">
        <v>93.597033800033302</v>
      </c>
      <c r="U45">
        <v>95.713688499992699</v>
      </c>
      <c r="V45" t="s">
        <v>38</v>
      </c>
      <c r="W45">
        <v>2.1187102000112601</v>
      </c>
      <c r="X45" t="s">
        <v>33</v>
      </c>
      <c r="Y45">
        <v>411160</v>
      </c>
      <c r="Z45">
        <v>1</v>
      </c>
      <c r="AA45" t="s">
        <v>34</v>
      </c>
      <c r="AB45" t="s">
        <v>35</v>
      </c>
      <c r="AD45" t="s">
        <v>36</v>
      </c>
      <c r="AE45">
        <v>59.8779089411114</v>
      </c>
      <c r="AF45" t="s">
        <v>37</v>
      </c>
    </row>
    <row r="46" spans="1:32" x14ac:dyDescent="0.25">
      <c r="A46">
        <v>15</v>
      </c>
      <c r="B46">
        <v>35</v>
      </c>
      <c r="C46">
        <v>13</v>
      </c>
      <c r="D46">
        <v>44</v>
      </c>
      <c r="E46">
        <v>2</v>
      </c>
      <c r="F46">
        <v>6</v>
      </c>
      <c r="G46" t="s">
        <v>32</v>
      </c>
      <c r="H46">
        <v>0.76285079994704497</v>
      </c>
      <c r="I46" t="s">
        <v>33</v>
      </c>
      <c r="J46">
        <v>6</v>
      </c>
      <c r="K46">
        <v>2</v>
      </c>
      <c r="L46">
        <v>44</v>
      </c>
      <c r="M46">
        <v>1</v>
      </c>
      <c r="N46">
        <v>95.729860800027296</v>
      </c>
      <c r="P46">
        <v>95.718056200013905</v>
      </c>
      <c r="Q46">
        <v>95.729860800027296</v>
      </c>
      <c r="R46">
        <v>96.713221799989697</v>
      </c>
      <c r="S46">
        <v>96.713221799989697</v>
      </c>
      <c r="T46">
        <v>96.729831500037093</v>
      </c>
      <c r="U46">
        <v>97.480333600018596</v>
      </c>
      <c r="V46" t="s">
        <v>32</v>
      </c>
      <c r="W46">
        <v>0.76285079994704497</v>
      </c>
      <c r="X46" t="s">
        <v>33</v>
      </c>
      <c r="Y46">
        <v>411160</v>
      </c>
      <c r="Z46">
        <v>1</v>
      </c>
      <c r="AA46" t="s">
        <v>34</v>
      </c>
      <c r="AB46" t="s">
        <v>35</v>
      </c>
      <c r="AD46" t="s">
        <v>36</v>
      </c>
      <c r="AE46">
        <v>59.8779089411114</v>
      </c>
      <c r="AF46" t="s">
        <v>37</v>
      </c>
    </row>
    <row r="47" spans="1:32" x14ac:dyDescent="0.25">
      <c r="A47">
        <v>67</v>
      </c>
      <c r="B47">
        <v>75</v>
      </c>
      <c r="C47">
        <v>119</v>
      </c>
      <c r="D47">
        <v>45</v>
      </c>
      <c r="E47">
        <v>3</v>
      </c>
      <c r="F47">
        <v>6</v>
      </c>
      <c r="G47" t="s">
        <v>32</v>
      </c>
      <c r="H47">
        <v>0.84710990003077302</v>
      </c>
      <c r="I47" t="s">
        <v>33</v>
      </c>
      <c r="J47">
        <v>6</v>
      </c>
      <c r="K47">
        <v>3</v>
      </c>
      <c r="L47">
        <v>45</v>
      </c>
      <c r="M47">
        <v>5</v>
      </c>
      <c r="N47">
        <v>97.496544699999504</v>
      </c>
      <c r="P47">
        <v>97.485429199994499</v>
      </c>
      <c r="Q47">
        <v>97.496544699999504</v>
      </c>
      <c r="R47">
        <v>98.483813700033295</v>
      </c>
      <c r="S47">
        <v>98.483813700033295</v>
      </c>
      <c r="T47">
        <v>98.501096400024807</v>
      </c>
      <c r="U47">
        <v>99.333924500038805</v>
      </c>
      <c r="V47" t="s">
        <v>32</v>
      </c>
      <c r="W47">
        <v>0.84710990003077302</v>
      </c>
      <c r="X47" t="s">
        <v>33</v>
      </c>
      <c r="Y47">
        <v>411160</v>
      </c>
      <c r="Z47">
        <v>1</v>
      </c>
      <c r="AA47" t="s">
        <v>34</v>
      </c>
      <c r="AB47" t="s">
        <v>35</v>
      </c>
      <c r="AD47" t="s">
        <v>36</v>
      </c>
      <c r="AE47">
        <v>59.8779089411114</v>
      </c>
      <c r="AF47" t="s">
        <v>37</v>
      </c>
    </row>
    <row r="48" spans="1:32" x14ac:dyDescent="0.25">
      <c r="A48">
        <v>78</v>
      </c>
      <c r="B48">
        <v>80</v>
      </c>
      <c r="C48">
        <v>162</v>
      </c>
      <c r="D48">
        <v>46</v>
      </c>
      <c r="E48">
        <v>4</v>
      </c>
      <c r="F48">
        <v>6</v>
      </c>
      <c r="G48" t="s">
        <v>32</v>
      </c>
      <c r="H48">
        <v>0.84910489997128002</v>
      </c>
      <c r="I48" t="s">
        <v>33</v>
      </c>
      <c r="J48">
        <v>6</v>
      </c>
      <c r="K48">
        <v>4</v>
      </c>
      <c r="L48">
        <v>46</v>
      </c>
      <c r="M48">
        <v>6</v>
      </c>
      <c r="N48">
        <v>99.348291300004306</v>
      </c>
      <c r="P48">
        <v>99.342882900033104</v>
      </c>
      <c r="Q48">
        <v>99.348291300004306</v>
      </c>
      <c r="R48">
        <v>100.347003800037</v>
      </c>
      <c r="S48">
        <v>100.347003800037</v>
      </c>
      <c r="T48">
        <v>100.363632499997</v>
      </c>
      <c r="U48">
        <v>101.19834750000101</v>
      </c>
      <c r="V48" t="s">
        <v>32</v>
      </c>
      <c r="W48">
        <v>0.84910489997128002</v>
      </c>
      <c r="X48" t="s">
        <v>33</v>
      </c>
      <c r="Y48">
        <v>411160</v>
      </c>
      <c r="Z48">
        <v>1</v>
      </c>
      <c r="AA48" t="s">
        <v>34</v>
      </c>
      <c r="AB48" t="s">
        <v>35</v>
      </c>
      <c r="AD48" t="s">
        <v>36</v>
      </c>
      <c r="AE48">
        <v>59.8779089411114</v>
      </c>
      <c r="AF48" t="s">
        <v>37</v>
      </c>
    </row>
    <row r="49" spans="1:32" x14ac:dyDescent="0.25">
      <c r="A49">
        <v>11</v>
      </c>
      <c r="B49">
        <v>30</v>
      </c>
      <c r="C49">
        <v>7</v>
      </c>
      <c r="D49">
        <v>47</v>
      </c>
      <c r="E49">
        <v>5</v>
      </c>
      <c r="F49">
        <v>6</v>
      </c>
      <c r="G49" t="s">
        <v>38</v>
      </c>
      <c r="H49">
        <v>1.0456608000095</v>
      </c>
      <c r="I49" t="s">
        <v>33</v>
      </c>
      <c r="J49">
        <v>6</v>
      </c>
      <c r="K49">
        <v>5</v>
      </c>
      <c r="L49">
        <v>47</v>
      </c>
      <c r="M49">
        <v>0</v>
      </c>
      <c r="N49">
        <v>101.213741399988</v>
      </c>
      <c r="P49">
        <v>101.205026999989</v>
      </c>
      <c r="Q49">
        <v>101.213741399988</v>
      </c>
      <c r="R49">
        <v>102.21338690002401</v>
      </c>
      <c r="S49">
        <v>102.21338690002401</v>
      </c>
      <c r="T49">
        <v>102.21338690002401</v>
      </c>
      <c r="U49">
        <v>103.264023100025</v>
      </c>
      <c r="V49" t="s">
        <v>38</v>
      </c>
      <c r="W49">
        <v>1.0456608000095</v>
      </c>
      <c r="X49" t="s">
        <v>33</v>
      </c>
      <c r="Y49">
        <v>411160</v>
      </c>
      <c r="Z49">
        <v>1</v>
      </c>
      <c r="AA49" t="s">
        <v>34</v>
      </c>
      <c r="AB49" t="s">
        <v>35</v>
      </c>
      <c r="AD49" t="s">
        <v>36</v>
      </c>
      <c r="AE49">
        <v>59.8779089411114</v>
      </c>
      <c r="AF49" t="s">
        <v>37</v>
      </c>
    </row>
    <row r="50" spans="1:32" x14ac:dyDescent="0.25">
      <c r="A50">
        <v>27</v>
      </c>
      <c r="B50">
        <v>50</v>
      </c>
      <c r="C50">
        <v>21</v>
      </c>
      <c r="D50">
        <v>48</v>
      </c>
      <c r="E50">
        <v>6</v>
      </c>
      <c r="F50">
        <v>6</v>
      </c>
      <c r="G50" t="s">
        <v>32</v>
      </c>
      <c r="H50">
        <v>1.5300921000307399</v>
      </c>
      <c r="I50" t="s">
        <v>33</v>
      </c>
      <c r="J50">
        <v>6</v>
      </c>
      <c r="K50">
        <v>6</v>
      </c>
      <c r="L50">
        <v>48</v>
      </c>
      <c r="M50">
        <v>2</v>
      </c>
      <c r="N50">
        <v>103.28007400000899</v>
      </c>
      <c r="P50">
        <v>103.26979749999001</v>
      </c>
      <c r="Q50">
        <v>103.28007400000899</v>
      </c>
      <c r="R50">
        <v>104.263402800017</v>
      </c>
      <c r="S50">
        <v>104.263402800017</v>
      </c>
      <c r="T50">
        <v>104.280212600016</v>
      </c>
      <c r="U50">
        <v>105.797365900012</v>
      </c>
      <c r="V50" t="s">
        <v>32</v>
      </c>
      <c r="W50">
        <v>1.5300921000307399</v>
      </c>
      <c r="X50" t="s">
        <v>33</v>
      </c>
      <c r="Y50">
        <v>411160</v>
      </c>
      <c r="Z50">
        <v>1</v>
      </c>
      <c r="AA50" t="s">
        <v>34</v>
      </c>
      <c r="AB50" t="s">
        <v>35</v>
      </c>
      <c r="AD50" t="s">
        <v>36</v>
      </c>
      <c r="AE50">
        <v>59.8779089411114</v>
      </c>
      <c r="AF50" t="s">
        <v>37</v>
      </c>
    </row>
    <row r="51" spans="1:32" x14ac:dyDescent="0.25">
      <c r="A51">
        <v>49</v>
      </c>
      <c r="B51">
        <v>60</v>
      </c>
      <c r="C51">
        <v>89</v>
      </c>
      <c r="D51">
        <v>49</v>
      </c>
      <c r="E51">
        <v>0</v>
      </c>
      <c r="F51">
        <v>7</v>
      </c>
      <c r="G51" t="s">
        <v>32</v>
      </c>
      <c r="H51">
        <v>1.97173590003512</v>
      </c>
      <c r="I51" t="s">
        <v>33</v>
      </c>
      <c r="J51">
        <v>7</v>
      </c>
      <c r="K51">
        <v>0</v>
      </c>
      <c r="L51">
        <v>49</v>
      </c>
      <c r="M51">
        <v>4</v>
      </c>
      <c r="N51">
        <v>105.81335110001901</v>
      </c>
      <c r="P51">
        <v>105.802976000006</v>
      </c>
      <c r="Q51">
        <v>105.81335110001901</v>
      </c>
      <c r="R51">
        <v>106.80074939999</v>
      </c>
      <c r="S51">
        <v>106.80074939999</v>
      </c>
      <c r="T51">
        <v>106.81736430001899</v>
      </c>
      <c r="U51">
        <v>108.782915099989</v>
      </c>
      <c r="V51" t="s">
        <v>32</v>
      </c>
      <c r="W51">
        <v>1.97173590003512</v>
      </c>
      <c r="X51" t="s">
        <v>33</v>
      </c>
      <c r="Y51">
        <v>411160</v>
      </c>
      <c r="Z51">
        <v>1</v>
      </c>
      <c r="AA51" t="s">
        <v>34</v>
      </c>
      <c r="AB51" t="s">
        <v>35</v>
      </c>
      <c r="AD51" t="s">
        <v>36</v>
      </c>
      <c r="AE51">
        <v>59.8779089411114</v>
      </c>
      <c r="AF51" t="s">
        <v>37</v>
      </c>
    </row>
    <row r="52" spans="1:32" x14ac:dyDescent="0.25">
      <c r="A52">
        <v>27</v>
      </c>
      <c r="B52">
        <v>50</v>
      </c>
      <c r="C52">
        <v>21</v>
      </c>
      <c r="D52">
        <v>50</v>
      </c>
      <c r="E52">
        <v>1</v>
      </c>
      <c r="F52">
        <v>7</v>
      </c>
      <c r="G52" t="s">
        <v>32</v>
      </c>
      <c r="H52">
        <v>1.0564332000212699</v>
      </c>
      <c r="I52" t="s">
        <v>33</v>
      </c>
      <c r="J52">
        <v>7</v>
      </c>
      <c r="K52">
        <v>1</v>
      </c>
      <c r="L52">
        <v>50</v>
      </c>
      <c r="M52">
        <v>2</v>
      </c>
      <c r="N52">
        <v>108.799059699987</v>
      </c>
      <c r="P52">
        <v>108.792210799991</v>
      </c>
      <c r="Q52">
        <v>108.799059699987</v>
      </c>
      <c r="R52">
        <v>109.798142399988</v>
      </c>
      <c r="S52">
        <v>109.798142399988</v>
      </c>
      <c r="T52">
        <v>109.81446990004</v>
      </c>
      <c r="U52">
        <v>110.866255300003</v>
      </c>
      <c r="V52" t="s">
        <v>32</v>
      </c>
      <c r="W52">
        <v>1.0564332000212699</v>
      </c>
      <c r="X52" t="s">
        <v>33</v>
      </c>
      <c r="Y52">
        <v>411160</v>
      </c>
      <c r="Z52">
        <v>1</v>
      </c>
      <c r="AA52" t="s">
        <v>34</v>
      </c>
      <c r="AB52" t="s">
        <v>35</v>
      </c>
      <c r="AD52" t="s">
        <v>36</v>
      </c>
      <c r="AE52">
        <v>59.8779089411114</v>
      </c>
      <c r="AF52" t="s">
        <v>37</v>
      </c>
    </row>
    <row r="53" spans="1:32" x14ac:dyDescent="0.25">
      <c r="A53">
        <v>11</v>
      </c>
      <c r="B53">
        <v>30</v>
      </c>
      <c r="C53">
        <v>7</v>
      </c>
      <c r="D53">
        <v>51</v>
      </c>
      <c r="E53">
        <v>2</v>
      </c>
      <c r="F53">
        <v>7</v>
      </c>
      <c r="G53" t="s">
        <v>38</v>
      </c>
      <c r="H53">
        <v>1.3492881999700299</v>
      </c>
      <c r="I53" t="s">
        <v>33</v>
      </c>
      <c r="J53">
        <v>7</v>
      </c>
      <c r="K53">
        <v>2</v>
      </c>
      <c r="L53">
        <v>51</v>
      </c>
      <c r="M53">
        <v>0</v>
      </c>
      <c r="N53">
        <v>110.884976000001</v>
      </c>
      <c r="P53">
        <v>110.880270200024</v>
      </c>
      <c r="Q53">
        <v>110.884976000001</v>
      </c>
      <c r="R53">
        <v>111.881455900031</v>
      </c>
      <c r="S53">
        <v>111.881455900031</v>
      </c>
      <c r="T53">
        <v>111.8992097</v>
      </c>
      <c r="U53">
        <v>113.233139000018</v>
      </c>
      <c r="V53" t="s">
        <v>38</v>
      </c>
      <c r="W53">
        <v>1.3492881999700299</v>
      </c>
      <c r="X53" t="s">
        <v>33</v>
      </c>
      <c r="Y53">
        <v>411160</v>
      </c>
      <c r="Z53">
        <v>1</v>
      </c>
      <c r="AA53" t="s">
        <v>34</v>
      </c>
      <c r="AB53" t="s">
        <v>35</v>
      </c>
      <c r="AD53" t="s">
        <v>36</v>
      </c>
      <c r="AE53">
        <v>59.8779089411114</v>
      </c>
      <c r="AF53" t="s">
        <v>37</v>
      </c>
    </row>
    <row r="54" spans="1:32" x14ac:dyDescent="0.25">
      <c r="A54">
        <v>67</v>
      </c>
      <c r="B54">
        <v>75</v>
      </c>
      <c r="C54">
        <v>119</v>
      </c>
      <c r="D54">
        <v>52</v>
      </c>
      <c r="E54">
        <v>3</v>
      </c>
      <c r="F54">
        <v>7</v>
      </c>
      <c r="G54" t="s">
        <v>32</v>
      </c>
      <c r="H54">
        <v>1.40900370001327</v>
      </c>
      <c r="I54" t="s">
        <v>33</v>
      </c>
      <c r="J54">
        <v>7</v>
      </c>
      <c r="K54">
        <v>3</v>
      </c>
      <c r="L54">
        <v>52</v>
      </c>
      <c r="M54">
        <v>5</v>
      </c>
      <c r="N54">
        <v>113.24887690000401</v>
      </c>
      <c r="P54">
        <v>113.243429000023</v>
      </c>
      <c r="Q54">
        <v>113.24887690000401</v>
      </c>
      <c r="R54">
        <v>114.248488600016</v>
      </c>
      <c r="S54">
        <v>114.248488600016</v>
      </c>
      <c r="T54">
        <v>114.248488600016</v>
      </c>
      <c r="U54">
        <v>115.666244100022</v>
      </c>
      <c r="V54" t="s">
        <v>32</v>
      </c>
      <c r="W54">
        <v>1.40900370001327</v>
      </c>
      <c r="X54" t="s">
        <v>33</v>
      </c>
      <c r="Y54">
        <v>411160</v>
      </c>
      <c r="Z54">
        <v>1</v>
      </c>
      <c r="AA54" t="s">
        <v>34</v>
      </c>
      <c r="AB54" t="s">
        <v>35</v>
      </c>
      <c r="AD54" t="s">
        <v>36</v>
      </c>
      <c r="AE54">
        <v>59.8779089411114</v>
      </c>
      <c r="AF54" t="s">
        <v>37</v>
      </c>
    </row>
    <row r="55" spans="1:32" x14ac:dyDescent="0.25">
      <c r="A55">
        <v>15</v>
      </c>
      <c r="B55">
        <v>35</v>
      </c>
      <c r="C55">
        <v>13</v>
      </c>
      <c r="D55">
        <v>53</v>
      </c>
      <c r="E55">
        <v>4</v>
      </c>
      <c r="F55">
        <v>7</v>
      </c>
      <c r="G55" t="s">
        <v>38</v>
      </c>
      <c r="H55">
        <v>0.70323450001887899</v>
      </c>
      <c r="I55" t="s">
        <v>33</v>
      </c>
      <c r="J55">
        <v>7</v>
      </c>
      <c r="K55">
        <v>4</v>
      </c>
      <c r="L55">
        <v>53</v>
      </c>
      <c r="M55">
        <v>1</v>
      </c>
      <c r="N55">
        <v>115.68378630001</v>
      </c>
      <c r="P55">
        <v>115.678546799987</v>
      </c>
      <c r="Q55">
        <v>115.68378630001</v>
      </c>
      <c r="R55">
        <v>116.680602600041</v>
      </c>
      <c r="S55">
        <v>116.680602600041</v>
      </c>
      <c r="T55">
        <v>116.697220300033</v>
      </c>
      <c r="U55">
        <v>117.398463400022</v>
      </c>
      <c r="V55" t="s">
        <v>38</v>
      </c>
      <c r="W55">
        <v>0.70323450001887899</v>
      </c>
      <c r="X55" t="s">
        <v>33</v>
      </c>
      <c r="Y55">
        <v>411160</v>
      </c>
      <c r="Z55">
        <v>1</v>
      </c>
      <c r="AA55" t="s">
        <v>34</v>
      </c>
      <c r="AB55" t="s">
        <v>35</v>
      </c>
      <c r="AD55" t="s">
        <v>36</v>
      </c>
      <c r="AE55">
        <v>59.8779089411114</v>
      </c>
      <c r="AF55" t="s">
        <v>37</v>
      </c>
    </row>
    <row r="56" spans="1:32" x14ac:dyDescent="0.25">
      <c r="A56">
        <v>40</v>
      </c>
      <c r="B56">
        <v>55</v>
      </c>
      <c r="C56">
        <v>62</v>
      </c>
      <c r="D56">
        <v>54</v>
      </c>
      <c r="E56">
        <v>5</v>
      </c>
      <c r="F56">
        <v>7</v>
      </c>
      <c r="G56" t="s">
        <v>38</v>
      </c>
      <c r="H56">
        <v>2.12531390000367</v>
      </c>
      <c r="I56" t="s">
        <v>33</v>
      </c>
      <c r="J56">
        <v>7</v>
      </c>
      <c r="K56">
        <v>5</v>
      </c>
      <c r="L56">
        <v>54</v>
      </c>
      <c r="M56">
        <v>3</v>
      </c>
      <c r="N56">
        <v>117.41408050002001</v>
      </c>
      <c r="P56">
        <v>117.404086900001</v>
      </c>
      <c r="Q56">
        <v>117.41408050002001</v>
      </c>
      <c r="R56">
        <v>118.397225000022</v>
      </c>
      <c r="S56">
        <v>118.397225000022</v>
      </c>
      <c r="T56">
        <v>118.413720500015</v>
      </c>
      <c r="U56">
        <v>120.534553000004</v>
      </c>
      <c r="V56" t="s">
        <v>38</v>
      </c>
      <c r="W56">
        <v>2.12531390000367</v>
      </c>
      <c r="X56" t="s">
        <v>33</v>
      </c>
      <c r="Y56">
        <v>411160</v>
      </c>
      <c r="Z56">
        <v>1</v>
      </c>
      <c r="AA56" t="s">
        <v>34</v>
      </c>
      <c r="AB56" t="s">
        <v>35</v>
      </c>
      <c r="AD56" t="s">
        <v>36</v>
      </c>
      <c r="AE56">
        <v>59.8779089411114</v>
      </c>
      <c r="AF56" t="s">
        <v>37</v>
      </c>
    </row>
    <row r="57" spans="1:32" x14ac:dyDescent="0.25">
      <c r="A57">
        <v>78</v>
      </c>
      <c r="B57">
        <v>80</v>
      </c>
      <c r="C57">
        <v>162</v>
      </c>
      <c r="D57">
        <v>55</v>
      </c>
      <c r="E57">
        <v>6</v>
      </c>
      <c r="F57">
        <v>7</v>
      </c>
      <c r="G57" t="s">
        <v>32</v>
      </c>
      <c r="H57">
        <v>1.0637786000152101</v>
      </c>
      <c r="I57" t="s">
        <v>33</v>
      </c>
      <c r="J57">
        <v>7</v>
      </c>
      <c r="K57">
        <v>6</v>
      </c>
      <c r="L57">
        <v>55</v>
      </c>
      <c r="M57">
        <v>6</v>
      </c>
      <c r="N57">
        <v>120.553575300029</v>
      </c>
      <c r="P57">
        <v>120.548798200034</v>
      </c>
      <c r="Q57">
        <v>120.553575300029</v>
      </c>
      <c r="R57">
        <v>121.54751460003899</v>
      </c>
      <c r="S57">
        <v>121.54751460003899</v>
      </c>
      <c r="T57">
        <v>121.564174500002</v>
      </c>
      <c r="U57">
        <v>122.615050400025</v>
      </c>
      <c r="V57" t="s">
        <v>32</v>
      </c>
      <c r="W57">
        <v>1.0637786000152101</v>
      </c>
      <c r="X57" t="s">
        <v>33</v>
      </c>
      <c r="Y57">
        <v>411160</v>
      </c>
      <c r="Z57">
        <v>1</v>
      </c>
      <c r="AA57" t="s">
        <v>34</v>
      </c>
      <c r="AB57" t="s">
        <v>35</v>
      </c>
      <c r="AD57" t="s">
        <v>36</v>
      </c>
      <c r="AE57">
        <v>59.8779089411114</v>
      </c>
      <c r="AF57" t="s">
        <v>37</v>
      </c>
    </row>
    <row r="58" spans="1:32" x14ac:dyDescent="0.25">
      <c r="A58">
        <v>27</v>
      </c>
      <c r="B58">
        <v>50</v>
      </c>
      <c r="C58">
        <v>21</v>
      </c>
      <c r="D58">
        <v>56</v>
      </c>
      <c r="E58">
        <v>0</v>
      </c>
      <c r="F58">
        <v>8</v>
      </c>
      <c r="G58" t="s">
        <v>38</v>
      </c>
      <c r="H58">
        <v>1.11343540000962</v>
      </c>
      <c r="I58" t="s">
        <v>33</v>
      </c>
      <c r="J58">
        <v>8</v>
      </c>
      <c r="K58">
        <v>0</v>
      </c>
      <c r="L58">
        <v>56</v>
      </c>
      <c r="M58">
        <v>2</v>
      </c>
      <c r="N58">
        <v>122.63083660002999</v>
      </c>
      <c r="P58">
        <v>122.621916400035</v>
      </c>
      <c r="Q58">
        <v>122.63083660002999</v>
      </c>
      <c r="R58">
        <v>123.613970400008</v>
      </c>
      <c r="S58">
        <v>123.613970400008</v>
      </c>
      <c r="T58">
        <v>123.631123099999</v>
      </c>
      <c r="U58">
        <v>124.73186569998499</v>
      </c>
      <c r="V58" t="s">
        <v>38</v>
      </c>
      <c r="W58">
        <v>1.11343540000962</v>
      </c>
      <c r="X58" t="s">
        <v>33</v>
      </c>
      <c r="Y58">
        <v>411160</v>
      </c>
      <c r="Z58">
        <v>1</v>
      </c>
      <c r="AA58" t="s">
        <v>34</v>
      </c>
      <c r="AB58" t="s">
        <v>35</v>
      </c>
      <c r="AD58" t="s">
        <v>36</v>
      </c>
      <c r="AE58">
        <v>59.8779089411114</v>
      </c>
      <c r="AF58" t="s">
        <v>37</v>
      </c>
    </row>
    <row r="59" spans="1:32" x14ac:dyDescent="0.25">
      <c r="A59">
        <v>67</v>
      </c>
      <c r="B59">
        <v>75</v>
      </c>
      <c r="C59">
        <v>119</v>
      </c>
      <c r="D59">
        <v>57</v>
      </c>
      <c r="E59">
        <v>1</v>
      </c>
      <c r="F59">
        <v>8</v>
      </c>
      <c r="G59" t="s">
        <v>32</v>
      </c>
      <c r="H59">
        <v>0.98990799998864498</v>
      </c>
      <c r="I59" t="s">
        <v>33</v>
      </c>
      <c r="J59">
        <v>8</v>
      </c>
      <c r="K59">
        <v>1</v>
      </c>
      <c r="L59">
        <v>57</v>
      </c>
      <c r="M59">
        <v>5</v>
      </c>
      <c r="N59">
        <v>124.747345399984</v>
      </c>
      <c r="P59">
        <v>124.737373900017</v>
      </c>
      <c r="Q59">
        <v>124.747345399984</v>
      </c>
      <c r="R59">
        <v>125.747366400028</v>
      </c>
      <c r="S59">
        <v>125.747366400028</v>
      </c>
      <c r="T59">
        <v>125.747366400028</v>
      </c>
      <c r="U59">
        <v>126.74914850003501</v>
      </c>
      <c r="V59" t="s">
        <v>32</v>
      </c>
      <c r="W59">
        <v>0.98990799998864498</v>
      </c>
      <c r="X59" t="s">
        <v>33</v>
      </c>
      <c r="Y59">
        <v>411160</v>
      </c>
      <c r="Z59">
        <v>1</v>
      </c>
      <c r="AA59" t="s">
        <v>34</v>
      </c>
      <c r="AB59" t="s">
        <v>35</v>
      </c>
      <c r="AD59" t="s">
        <v>36</v>
      </c>
      <c r="AE59">
        <v>59.8779089411114</v>
      </c>
      <c r="AF59" t="s">
        <v>37</v>
      </c>
    </row>
    <row r="60" spans="1:32" x14ac:dyDescent="0.25">
      <c r="A60">
        <v>78</v>
      </c>
      <c r="B60">
        <v>80</v>
      </c>
      <c r="C60">
        <v>162</v>
      </c>
      <c r="D60">
        <v>58</v>
      </c>
      <c r="E60">
        <v>2</v>
      </c>
      <c r="F60">
        <v>8</v>
      </c>
      <c r="G60" t="s">
        <v>32</v>
      </c>
      <c r="H60">
        <v>0.64587519998895004</v>
      </c>
      <c r="I60" t="s">
        <v>33</v>
      </c>
      <c r="J60">
        <v>8</v>
      </c>
      <c r="K60">
        <v>2</v>
      </c>
      <c r="L60">
        <v>58</v>
      </c>
      <c r="M60">
        <v>6</v>
      </c>
      <c r="N60">
        <v>126.766355400031</v>
      </c>
      <c r="P60">
        <v>126.759379800001</v>
      </c>
      <c r="Q60">
        <v>126.766355400031</v>
      </c>
      <c r="R60">
        <v>127.754829099983</v>
      </c>
      <c r="S60">
        <v>127.754829099983</v>
      </c>
      <c r="T60">
        <v>127.767323500011</v>
      </c>
      <c r="U60">
        <v>128.417065799993</v>
      </c>
      <c r="V60" t="s">
        <v>32</v>
      </c>
      <c r="W60">
        <v>0.64587519998895004</v>
      </c>
      <c r="X60" t="s">
        <v>33</v>
      </c>
      <c r="Y60">
        <v>411160</v>
      </c>
      <c r="Z60">
        <v>1</v>
      </c>
      <c r="AA60" t="s">
        <v>34</v>
      </c>
      <c r="AB60" t="s">
        <v>35</v>
      </c>
      <c r="AD60" t="s">
        <v>36</v>
      </c>
      <c r="AE60">
        <v>59.8779089411114</v>
      </c>
      <c r="AF60" t="s">
        <v>37</v>
      </c>
    </row>
    <row r="61" spans="1:32" x14ac:dyDescent="0.25">
      <c r="A61">
        <v>11</v>
      </c>
      <c r="B61">
        <v>30</v>
      </c>
      <c r="C61">
        <v>7</v>
      </c>
      <c r="D61">
        <v>59</v>
      </c>
      <c r="E61">
        <v>3</v>
      </c>
      <c r="F61">
        <v>8</v>
      </c>
      <c r="G61" t="s">
        <v>38</v>
      </c>
      <c r="H61">
        <v>0.45319609995931298</v>
      </c>
      <c r="I61" t="s">
        <v>33</v>
      </c>
      <c r="J61">
        <v>8</v>
      </c>
      <c r="K61">
        <v>3</v>
      </c>
      <c r="L61">
        <v>59</v>
      </c>
      <c r="M61">
        <v>0</v>
      </c>
      <c r="N61">
        <v>128.43717270001</v>
      </c>
      <c r="P61">
        <v>128.43304650002301</v>
      </c>
      <c r="Q61">
        <v>128.43717270001</v>
      </c>
      <c r="R61">
        <v>129.430966500018</v>
      </c>
      <c r="S61">
        <v>129.430966500018</v>
      </c>
      <c r="T61">
        <v>129.44781849998901</v>
      </c>
      <c r="U61">
        <v>129.89807540003599</v>
      </c>
      <c r="V61" t="s">
        <v>38</v>
      </c>
      <c r="W61">
        <v>0.45319609995931298</v>
      </c>
      <c r="X61" t="s">
        <v>33</v>
      </c>
      <c r="Y61">
        <v>411160</v>
      </c>
      <c r="Z61">
        <v>1</v>
      </c>
      <c r="AA61" t="s">
        <v>34</v>
      </c>
      <c r="AB61" t="s">
        <v>35</v>
      </c>
      <c r="AD61" t="s">
        <v>36</v>
      </c>
      <c r="AE61">
        <v>59.8779089411114</v>
      </c>
      <c r="AF61" t="s">
        <v>37</v>
      </c>
    </row>
    <row r="62" spans="1:32" x14ac:dyDescent="0.25">
      <c r="A62">
        <v>15</v>
      </c>
      <c r="B62">
        <v>35</v>
      </c>
      <c r="C62">
        <v>13</v>
      </c>
      <c r="D62">
        <v>60</v>
      </c>
      <c r="E62">
        <v>4</v>
      </c>
      <c r="F62">
        <v>8</v>
      </c>
      <c r="G62" t="s">
        <v>38</v>
      </c>
      <c r="H62">
        <v>0.99650510004721504</v>
      </c>
      <c r="I62" t="s">
        <v>33</v>
      </c>
      <c r="J62">
        <v>8</v>
      </c>
      <c r="K62">
        <v>4</v>
      </c>
      <c r="L62">
        <v>60</v>
      </c>
      <c r="M62">
        <v>1</v>
      </c>
      <c r="N62">
        <v>129.91480650001901</v>
      </c>
      <c r="P62">
        <v>129.90441590000401</v>
      </c>
      <c r="Q62">
        <v>129.91480650001901</v>
      </c>
      <c r="R62">
        <v>130.89768340001999</v>
      </c>
      <c r="S62">
        <v>130.89768340001999</v>
      </c>
      <c r="T62">
        <v>130.914364500029</v>
      </c>
      <c r="U62">
        <v>131.898738000018</v>
      </c>
      <c r="V62" t="s">
        <v>38</v>
      </c>
      <c r="W62">
        <v>0.99650510004721504</v>
      </c>
      <c r="X62" t="s">
        <v>33</v>
      </c>
      <c r="Y62">
        <v>411160</v>
      </c>
      <c r="Z62">
        <v>1</v>
      </c>
      <c r="AA62" t="s">
        <v>34</v>
      </c>
      <c r="AB62" t="s">
        <v>35</v>
      </c>
      <c r="AD62" t="s">
        <v>36</v>
      </c>
      <c r="AE62">
        <v>59.8779089411114</v>
      </c>
      <c r="AF62" t="s">
        <v>37</v>
      </c>
    </row>
    <row r="63" spans="1:32" x14ac:dyDescent="0.25">
      <c r="A63">
        <v>40</v>
      </c>
      <c r="B63">
        <v>55</v>
      </c>
      <c r="C63">
        <v>62</v>
      </c>
      <c r="D63">
        <v>61</v>
      </c>
      <c r="E63">
        <v>5</v>
      </c>
      <c r="F63">
        <v>8</v>
      </c>
      <c r="G63" t="s">
        <v>38</v>
      </c>
      <c r="H63">
        <v>0.63236689998302598</v>
      </c>
      <c r="I63" t="s">
        <v>33</v>
      </c>
      <c r="J63">
        <v>8</v>
      </c>
      <c r="K63">
        <v>5</v>
      </c>
      <c r="L63">
        <v>61</v>
      </c>
      <c r="M63">
        <v>3</v>
      </c>
      <c r="N63">
        <v>131.91400570003299</v>
      </c>
      <c r="P63">
        <v>131.90688690001801</v>
      </c>
      <c r="Q63">
        <v>131.91400570003299</v>
      </c>
      <c r="R63">
        <v>132.89740610000399</v>
      </c>
      <c r="S63">
        <v>132.89740610000399</v>
      </c>
      <c r="T63">
        <v>132.91468260000599</v>
      </c>
      <c r="U63">
        <v>133.53128360002299</v>
      </c>
      <c r="V63" t="s">
        <v>38</v>
      </c>
      <c r="W63">
        <v>0.63236689998302598</v>
      </c>
      <c r="X63" t="s">
        <v>33</v>
      </c>
      <c r="Y63">
        <v>411160</v>
      </c>
      <c r="Z63">
        <v>1</v>
      </c>
      <c r="AA63" t="s">
        <v>34</v>
      </c>
      <c r="AB63" t="s">
        <v>35</v>
      </c>
      <c r="AD63" t="s">
        <v>36</v>
      </c>
      <c r="AE63">
        <v>59.8779089411114</v>
      </c>
      <c r="AF63" t="s">
        <v>37</v>
      </c>
    </row>
    <row r="64" spans="1:32" x14ac:dyDescent="0.25">
      <c r="A64">
        <v>49</v>
      </c>
      <c r="B64">
        <v>60</v>
      </c>
      <c r="C64">
        <v>89</v>
      </c>
      <c r="D64">
        <v>62</v>
      </c>
      <c r="E64">
        <v>6</v>
      </c>
      <c r="F64">
        <v>8</v>
      </c>
      <c r="G64" t="s">
        <v>32</v>
      </c>
      <c r="H64">
        <v>0.297183600021526</v>
      </c>
      <c r="I64" t="s">
        <v>33</v>
      </c>
      <c r="J64">
        <v>8</v>
      </c>
      <c r="K64">
        <v>6</v>
      </c>
      <c r="L64">
        <v>62</v>
      </c>
      <c r="M64">
        <v>4</v>
      </c>
      <c r="N64">
        <v>133.54753129999099</v>
      </c>
      <c r="P64">
        <v>133.53600070002699</v>
      </c>
      <c r="Q64">
        <v>133.54753129999099</v>
      </c>
      <c r="R64">
        <v>134.53095220000199</v>
      </c>
      <c r="S64">
        <v>134.53095220000199</v>
      </c>
      <c r="T64">
        <v>134.54813350003599</v>
      </c>
      <c r="U64">
        <v>134.83137740002701</v>
      </c>
      <c r="V64" t="s">
        <v>32</v>
      </c>
      <c r="W64">
        <v>0.297183600021526</v>
      </c>
      <c r="X64" t="s">
        <v>33</v>
      </c>
      <c r="Y64">
        <v>411160</v>
      </c>
      <c r="Z64">
        <v>1</v>
      </c>
      <c r="AA64" t="s">
        <v>34</v>
      </c>
      <c r="AB64" t="s">
        <v>35</v>
      </c>
      <c r="AD64" t="s">
        <v>36</v>
      </c>
      <c r="AE64">
        <v>59.8779089411114</v>
      </c>
      <c r="AF64" t="s">
        <v>37</v>
      </c>
    </row>
    <row r="65" spans="1:32" x14ac:dyDescent="0.25">
      <c r="A65">
        <v>78</v>
      </c>
      <c r="B65">
        <v>80</v>
      </c>
      <c r="C65">
        <v>162</v>
      </c>
      <c r="D65">
        <v>63</v>
      </c>
      <c r="E65">
        <v>0</v>
      </c>
      <c r="F65">
        <v>9</v>
      </c>
      <c r="G65" t="s">
        <v>32</v>
      </c>
      <c r="H65">
        <v>0.38301669998327198</v>
      </c>
      <c r="I65" t="s">
        <v>33</v>
      </c>
      <c r="J65">
        <v>9</v>
      </c>
      <c r="K65">
        <v>0</v>
      </c>
      <c r="L65">
        <v>63</v>
      </c>
      <c r="M65">
        <v>6</v>
      </c>
      <c r="N65">
        <v>134.848716799984</v>
      </c>
      <c r="P65">
        <v>134.83994149998699</v>
      </c>
      <c r="Q65">
        <v>134.848716799984</v>
      </c>
      <c r="R65">
        <v>135.83053969999301</v>
      </c>
      <c r="S65">
        <v>135.83053969999301</v>
      </c>
      <c r="T65">
        <v>135.86486900003999</v>
      </c>
      <c r="U65">
        <v>136.21457680000401</v>
      </c>
      <c r="V65" t="s">
        <v>32</v>
      </c>
      <c r="W65">
        <v>0.38301669998327198</v>
      </c>
      <c r="X65" t="s">
        <v>33</v>
      </c>
      <c r="Y65">
        <v>411160</v>
      </c>
      <c r="Z65">
        <v>1</v>
      </c>
      <c r="AA65" t="s">
        <v>34</v>
      </c>
      <c r="AB65" t="s">
        <v>35</v>
      </c>
      <c r="AD65" t="s">
        <v>36</v>
      </c>
      <c r="AE65">
        <v>59.8779089411114</v>
      </c>
      <c r="AF65" t="s">
        <v>37</v>
      </c>
    </row>
    <row r="66" spans="1:32" x14ac:dyDescent="0.25">
      <c r="A66">
        <v>67</v>
      </c>
      <c r="B66">
        <v>75</v>
      </c>
      <c r="C66">
        <v>119</v>
      </c>
      <c r="D66">
        <v>64</v>
      </c>
      <c r="E66">
        <v>1</v>
      </c>
      <c r="F66">
        <v>9</v>
      </c>
      <c r="G66" t="s">
        <v>32</v>
      </c>
      <c r="H66">
        <v>0.46110720001161098</v>
      </c>
      <c r="I66" t="s">
        <v>33</v>
      </c>
      <c r="J66">
        <v>9</v>
      </c>
      <c r="K66">
        <v>1</v>
      </c>
      <c r="L66">
        <v>64</v>
      </c>
      <c r="M66">
        <v>5</v>
      </c>
      <c r="N66">
        <v>136.23057820001799</v>
      </c>
      <c r="P66">
        <v>136.22095149999899</v>
      </c>
      <c r="Q66">
        <v>136.23057820001799</v>
      </c>
      <c r="R66">
        <v>137.214343300031</v>
      </c>
      <c r="S66">
        <v>137.214343300031</v>
      </c>
      <c r="T66">
        <v>137.23101360001601</v>
      </c>
      <c r="U66">
        <v>137.68311179999699</v>
      </c>
      <c r="V66" t="s">
        <v>32</v>
      </c>
      <c r="W66">
        <v>0.46110720001161098</v>
      </c>
      <c r="X66" t="s">
        <v>33</v>
      </c>
      <c r="Y66">
        <v>411160</v>
      </c>
      <c r="Z66">
        <v>1</v>
      </c>
      <c r="AA66" t="s">
        <v>34</v>
      </c>
      <c r="AB66" t="s">
        <v>35</v>
      </c>
      <c r="AD66" t="s">
        <v>36</v>
      </c>
      <c r="AE66">
        <v>59.8779089411114</v>
      </c>
      <c r="AF66" t="s">
        <v>37</v>
      </c>
    </row>
    <row r="67" spans="1:32" x14ac:dyDescent="0.25">
      <c r="A67">
        <v>15</v>
      </c>
      <c r="B67">
        <v>35</v>
      </c>
      <c r="C67">
        <v>13</v>
      </c>
      <c r="D67">
        <v>65</v>
      </c>
      <c r="E67">
        <v>2</v>
      </c>
      <c r="F67">
        <v>9</v>
      </c>
      <c r="G67" t="s">
        <v>38</v>
      </c>
      <c r="H67">
        <v>0.30847440002253201</v>
      </c>
      <c r="I67" t="s">
        <v>33</v>
      </c>
      <c r="J67">
        <v>9</v>
      </c>
      <c r="K67">
        <v>2</v>
      </c>
      <c r="L67">
        <v>65</v>
      </c>
      <c r="M67">
        <v>1</v>
      </c>
      <c r="N67">
        <v>137.69873970001899</v>
      </c>
      <c r="P67">
        <v>137.69379260001</v>
      </c>
      <c r="Q67">
        <v>137.69873970001899</v>
      </c>
      <c r="R67">
        <v>138.697666699998</v>
      </c>
      <c r="S67">
        <v>138.697666699998</v>
      </c>
      <c r="T67">
        <v>138.71493030001801</v>
      </c>
      <c r="U67">
        <v>139.014765600033</v>
      </c>
      <c r="V67" t="s">
        <v>38</v>
      </c>
      <c r="W67">
        <v>0.30847440002253201</v>
      </c>
      <c r="X67" t="s">
        <v>33</v>
      </c>
      <c r="Y67">
        <v>411160</v>
      </c>
      <c r="Z67">
        <v>1</v>
      </c>
      <c r="AA67" t="s">
        <v>34</v>
      </c>
      <c r="AB67" t="s">
        <v>35</v>
      </c>
      <c r="AD67" t="s">
        <v>36</v>
      </c>
      <c r="AE67">
        <v>59.8779089411114</v>
      </c>
      <c r="AF67" t="s">
        <v>37</v>
      </c>
    </row>
    <row r="68" spans="1:32" x14ac:dyDescent="0.25">
      <c r="A68">
        <v>49</v>
      </c>
      <c r="B68">
        <v>60</v>
      </c>
      <c r="C68">
        <v>89</v>
      </c>
      <c r="D68">
        <v>66</v>
      </c>
      <c r="E68">
        <v>3</v>
      </c>
      <c r="F68">
        <v>9</v>
      </c>
      <c r="G68" t="s">
        <v>38</v>
      </c>
      <c r="H68">
        <v>0.619001400016713</v>
      </c>
      <c r="I68" t="s">
        <v>33</v>
      </c>
      <c r="J68">
        <v>9</v>
      </c>
      <c r="K68">
        <v>3</v>
      </c>
      <c r="L68">
        <v>66</v>
      </c>
      <c r="M68">
        <v>4</v>
      </c>
      <c r="N68">
        <v>139.03107670001901</v>
      </c>
      <c r="P68">
        <v>139.020171699987</v>
      </c>
      <c r="Q68">
        <v>139.03107670001901</v>
      </c>
      <c r="R68">
        <v>140.015764200012</v>
      </c>
      <c r="S68">
        <v>140.015764200012</v>
      </c>
      <c r="T68">
        <v>140.03248410002499</v>
      </c>
      <c r="U68">
        <v>140.65039140003501</v>
      </c>
      <c r="V68" t="s">
        <v>38</v>
      </c>
      <c r="W68">
        <v>0.619001400016713</v>
      </c>
      <c r="X68" t="s">
        <v>33</v>
      </c>
      <c r="Y68">
        <v>411160</v>
      </c>
      <c r="Z68">
        <v>1</v>
      </c>
      <c r="AA68" t="s">
        <v>34</v>
      </c>
      <c r="AB68" t="s">
        <v>35</v>
      </c>
      <c r="AD68" t="s">
        <v>36</v>
      </c>
      <c r="AE68">
        <v>59.8779089411114</v>
      </c>
      <c r="AF68" t="s">
        <v>37</v>
      </c>
    </row>
    <row r="69" spans="1:32" x14ac:dyDescent="0.25">
      <c r="A69">
        <v>40</v>
      </c>
      <c r="B69">
        <v>55</v>
      </c>
      <c r="C69">
        <v>62</v>
      </c>
      <c r="D69">
        <v>67</v>
      </c>
      <c r="E69">
        <v>4</v>
      </c>
      <c r="F69">
        <v>9</v>
      </c>
      <c r="G69" t="s">
        <v>38</v>
      </c>
      <c r="H69">
        <v>0.69683510001050297</v>
      </c>
      <c r="I69" t="s">
        <v>33</v>
      </c>
      <c r="J69">
        <v>9</v>
      </c>
      <c r="K69">
        <v>4</v>
      </c>
      <c r="L69">
        <v>67</v>
      </c>
      <c r="M69">
        <v>3</v>
      </c>
      <c r="N69">
        <v>140.666813499992</v>
      </c>
      <c r="P69">
        <v>140.66228620003599</v>
      </c>
      <c r="Q69">
        <v>140.666813499992</v>
      </c>
      <c r="R69">
        <v>141.650700700003</v>
      </c>
      <c r="S69">
        <v>141.650700700003</v>
      </c>
      <c r="T69">
        <v>141.66815330000799</v>
      </c>
      <c r="U69">
        <v>142.34832009998999</v>
      </c>
      <c r="V69" t="s">
        <v>38</v>
      </c>
      <c r="W69">
        <v>0.69683510001050297</v>
      </c>
      <c r="X69" t="s">
        <v>33</v>
      </c>
      <c r="Y69">
        <v>411160</v>
      </c>
      <c r="Z69">
        <v>1</v>
      </c>
      <c r="AA69" t="s">
        <v>34</v>
      </c>
      <c r="AB69" t="s">
        <v>35</v>
      </c>
      <c r="AD69" t="s">
        <v>36</v>
      </c>
      <c r="AE69">
        <v>59.8779089411114</v>
      </c>
      <c r="AF69" t="s">
        <v>37</v>
      </c>
    </row>
    <row r="70" spans="1:32" x14ac:dyDescent="0.25">
      <c r="A70">
        <v>27</v>
      </c>
      <c r="B70">
        <v>50</v>
      </c>
      <c r="C70">
        <v>21</v>
      </c>
      <c r="D70">
        <v>68</v>
      </c>
      <c r="E70">
        <v>5</v>
      </c>
      <c r="F70">
        <v>9</v>
      </c>
      <c r="G70" t="s">
        <v>38</v>
      </c>
      <c r="H70">
        <v>0.92158599995309398</v>
      </c>
      <c r="I70" t="s">
        <v>33</v>
      </c>
      <c r="J70">
        <v>9</v>
      </c>
      <c r="K70">
        <v>5</v>
      </c>
      <c r="L70">
        <v>68</v>
      </c>
      <c r="M70">
        <v>2</v>
      </c>
      <c r="N70">
        <v>142.36451550002599</v>
      </c>
      <c r="P70">
        <v>142.35438899998499</v>
      </c>
      <c r="Q70">
        <v>142.36451550002599</v>
      </c>
      <c r="R70">
        <v>143.34792269999099</v>
      </c>
      <c r="S70">
        <v>143.34792269999099</v>
      </c>
      <c r="T70">
        <v>143.36453369999001</v>
      </c>
      <c r="U70">
        <v>144.281588200014</v>
      </c>
      <c r="V70" t="s">
        <v>38</v>
      </c>
      <c r="W70">
        <v>0.92158599995309398</v>
      </c>
      <c r="X70" t="s">
        <v>33</v>
      </c>
      <c r="Y70">
        <v>411160</v>
      </c>
      <c r="Z70">
        <v>1</v>
      </c>
      <c r="AA70" t="s">
        <v>34</v>
      </c>
      <c r="AB70" t="s">
        <v>35</v>
      </c>
      <c r="AD70" t="s">
        <v>36</v>
      </c>
      <c r="AE70">
        <v>59.8779089411114</v>
      </c>
      <c r="AF70" t="s">
        <v>37</v>
      </c>
    </row>
    <row r="71" spans="1:32" x14ac:dyDescent="0.25">
      <c r="A71">
        <v>11</v>
      </c>
      <c r="B71">
        <v>30</v>
      </c>
      <c r="C71">
        <v>7</v>
      </c>
      <c r="D71">
        <v>69</v>
      </c>
      <c r="E71">
        <v>6</v>
      </c>
      <c r="F71">
        <v>9</v>
      </c>
      <c r="G71" t="s">
        <v>38</v>
      </c>
      <c r="H71">
        <v>0.72377179999602903</v>
      </c>
      <c r="I71" t="s">
        <v>33</v>
      </c>
      <c r="J71">
        <v>9</v>
      </c>
      <c r="K71">
        <v>6</v>
      </c>
      <c r="L71">
        <v>69</v>
      </c>
      <c r="M71">
        <v>0</v>
      </c>
      <c r="N71">
        <v>144.29788610001501</v>
      </c>
      <c r="P71">
        <v>144.28680920001301</v>
      </c>
      <c r="Q71">
        <v>144.29788610001501</v>
      </c>
      <c r="R71">
        <v>145.28107050003001</v>
      </c>
      <c r="S71">
        <v>145.28107050003001</v>
      </c>
      <c r="T71">
        <v>145.297906299994</v>
      </c>
      <c r="U71">
        <v>146.014986400026</v>
      </c>
      <c r="V71" t="s">
        <v>38</v>
      </c>
      <c r="W71">
        <v>0.72377179999602903</v>
      </c>
      <c r="X71" t="s">
        <v>33</v>
      </c>
      <c r="Y71">
        <v>411160</v>
      </c>
      <c r="Z71">
        <v>1</v>
      </c>
      <c r="AA71" t="s">
        <v>34</v>
      </c>
      <c r="AB71" t="s">
        <v>35</v>
      </c>
      <c r="AD71" t="s">
        <v>36</v>
      </c>
      <c r="AE71">
        <v>59.8779089411114</v>
      </c>
      <c r="AF71" t="s">
        <v>37</v>
      </c>
    </row>
    <row r="72" spans="1:32" x14ac:dyDescent="0.25">
      <c r="A72">
        <v>40</v>
      </c>
      <c r="B72">
        <v>55</v>
      </c>
      <c r="C72">
        <v>62</v>
      </c>
      <c r="D72">
        <v>70</v>
      </c>
      <c r="E72">
        <v>0</v>
      </c>
      <c r="F72">
        <v>10</v>
      </c>
      <c r="G72" t="s">
        <v>32</v>
      </c>
      <c r="H72">
        <v>0.71425560000352495</v>
      </c>
      <c r="I72" t="s">
        <v>33</v>
      </c>
      <c r="J72">
        <v>10</v>
      </c>
      <c r="K72">
        <v>0</v>
      </c>
      <c r="L72">
        <v>70</v>
      </c>
      <c r="M72">
        <v>3</v>
      </c>
      <c r="N72">
        <v>146.03112270002001</v>
      </c>
      <c r="P72">
        <v>146.01923760003399</v>
      </c>
      <c r="Q72">
        <v>146.03112270002001</v>
      </c>
      <c r="R72">
        <v>147.014841300027</v>
      </c>
      <c r="S72">
        <v>147.014841300027</v>
      </c>
      <c r="T72">
        <v>147.03175740002101</v>
      </c>
      <c r="U72">
        <v>147.73250370001099</v>
      </c>
      <c r="V72" t="s">
        <v>32</v>
      </c>
      <c r="W72">
        <v>0.71425560000352495</v>
      </c>
      <c r="X72" t="s">
        <v>33</v>
      </c>
      <c r="Y72">
        <v>411160</v>
      </c>
      <c r="Z72">
        <v>1</v>
      </c>
      <c r="AA72" t="s">
        <v>34</v>
      </c>
      <c r="AB72" t="s">
        <v>35</v>
      </c>
      <c r="AD72" t="s">
        <v>36</v>
      </c>
      <c r="AE72">
        <v>59.8779089411114</v>
      </c>
      <c r="AF72" t="s">
        <v>37</v>
      </c>
    </row>
    <row r="73" spans="1:32" x14ac:dyDescent="0.25">
      <c r="A73">
        <v>78</v>
      </c>
      <c r="B73">
        <v>80</v>
      </c>
      <c r="C73">
        <v>162</v>
      </c>
      <c r="D73">
        <v>71</v>
      </c>
      <c r="E73">
        <v>1</v>
      </c>
      <c r="F73">
        <v>10</v>
      </c>
      <c r="G73" t="s">
        <v>32</v>
      </c>
      <c r="H73">
        <v>0.60150900000007801</v>
      </c>
      <c r="I73" t="s">
        <v>33</v>
      </c>
      <c r="J73">
        <v>10</v>
      </c>
      <c r="K73">
        <v>1</v>
      </c>
      <c r="L73">
        <v>71</v>
      </c>
      <c r="M73">
        <v>6</v>
      </c>
      <c r="N73">
        <v>147.74805639998499</v>
      </c>
      <c r="P73">
        <v>147.73885060002701</v>
      </c>
      <c r="Q73">
        <v>147.74805639998499</v>
      </c>
      <c r="R73">
        <v>148.748304100008</v>
      </c>
      <c r="S73">
        <v>148.748304100008</v>
      </c>
      <c r="T73">
        <v>148.748304100008</v>
      </c>
      <c r="U73">
        <v>149.36515160003901</v>
      </c>
      <c r="V73" t="s">
        <v>32</v>
      </c>
      <c r="W73">
        <v>0.60150900000007801</v>
      </c>
      <c r="X73" t="s">
        <v>33</v>
      </c>
      <c r="Y73">
        <v>411160</v>
      </c>
      <c r="Z73">
        <v>1</v>
      </c>
      <c r="AA73" t="s">
        <v>34</v>
      </c>
      <c r="AB73" t="s">
        <v>35</v>
      </c>
      <c r="AD73" t="s">
        <v>36</v>
      </c>
      <c r="AE73">
        <v>59.8779089411114</v>
      </c>
      <c r="AF73" t="s">
        <v>37</v>
      </c>
    </row>
    <row r="74" spans="1:32" x14ac:dyDescent="0.25">
      <c r="A74">
        <v>67</v>
      </c>
      <c r="B74">
        <v>75</v>
      </c>
      <c r="C74">
        <v>119</v>
      </c>
      <c r="D74">
        <v>72</v>
      </c>
      <c r="E74">
        <v>2</v>
      </c>
      <c r="F74">
        <v>10</v>
      </c>
      <c r="G74" t="s">
        <v>32</v>
      </c>
      <c r="H74">
        <v>0.60280809999676399</v>
      </c>
      <c r="I74" t="s">
        <v>33</v>
      </c>
      <c r="J74">
        <v>10</v>
      </c>
      <c r="K74">
        <v>2</v>
      </c>
      <c r="L74">
        <v>72</v>
      </c>
      <c r="M74">
        <v>5</v>
      </c>
      <c r="N74">
        <v>149.38130659999999</v>
      </c>
      <c r="P74">
        <v>149.37051199999399</v>
      </c>
      <c r="Q74">
        <v>149.38130659999999</v>
      </c>
      <c r="R74">
        <v>150.36612210003599</v>
      </c>
      <c r="S74">
        <v>150.36612210003599</v>
      </c>
      <c r="T74">
        <v>150.382744800008</v>
      </c>
      <c r="U74">
        <v>150.98237909999401</v>
      </c>
      <c r="V74" t="s">
        <v>32</v>
      </c>
      <c r="W74">
        <v>0.60280809999676399</v>
      </c>
      <c r="X74" t="s">
        <v>33</v>
      </c>
      <c r="Y74">
        <v>411160</v>
      </c>
      <c r="Z74">
        <v>1</v>
      </c>
      <c r="AA74" t="s">
        <v>34</v>
      </c>
      <c r="AB74" t="s">
        <v>35</v>
      </c>
      <c r="AD74" t="s">
        <v>36</v>
      </c>
      <c r="AE74">
        <v>59.8779089411114</v>
      </c>
      <c r="AF74" t="s">
        <v>37</v>
      </c>
    </row>
    <row r="75" spans="1:32" x14ac:dyDescent="0.25">
      <c r="A75">
        <v>15</v>
      </c>
      <c r="B75">
        <v>35</v>
      </c>
      <c r="C75">
        <v>13</v>
      </c>
      <c r="D75">
        <v>73</v>
      </c>
      <c r="E75">
        <v>3</v>
      </c>
      <c r="F75">
        <v>10</v>
      </c>
      <c r="G75" t="s">
        <v>32</v>
      </c>
      <c r="H75">
        <v>0.55480979999992996</v>
      </c>
      <c r="I75" t="s">
        <v>33</v>
      </c>
      <c r="J75">
        <v>10</v>
      </c>
      <c r="K75">
        <v>3</v>
      </c>
      <c r="L75">
        <v>73</v>
      </c>
      <c r="M75">
        <v>1</v>
      </c>
      <c r="N75">
        <v>150.99858489999301</v>
      </c>
      <c r="P75">
        <v>150.99209360004099</v>
      </c>
      <c r="Q75">
        <v>150.99858489999301</v>
      </c>
      <c r="R75">
        <v>151.98251970001701</v>
      </c>
      <c r="S75">
        <v>151.98251970001701</v>
      </c>
      <c r="T75">
        <v>151.998881999985</v>
      </c>
      <c r="U75">
        <v>152.549968999985</v>
      </c>
      <c r="V75" t="s">
        <v>32</v>
      </c>
      <c r="W75">
        <v>0.55480979999992996</v>
      </c>
      <c r="X75" t="s">
        <v>33</v>
      </c>
      <c r="Y75">
        <v>411160</v>
      </c>
      <c r="Z75">
        <v>1</v>
      </c>
      <c r="AA75" t="s">
        <v>34</v>
      </c>
      <c r="AB75" t="s">
        <v>35</v>
      </c>
      <c r="AD75" t="s">
        <v>36</v>
      </c>
      <c r="AE75">
        <v>59.8779089411114</v>
      </c>
      <c r="AF75" t="s">
        <v>37</v>
      </c>
    </row>
    <row r="76" spans="1:32" x14ac:dyDescent="0.25">
      <c r="A76">
        <v>11</v>
      </c>
      <c r="B76">
        <v>30</v>
      </c>
      <c r="C76">
        <v>7</v>
      </c>
      <c r="D76">
        <v>74</v>
      </c>
      <c r="E76">
        <v>4</v>
      </c>
      <c r="F76">
        <v>10</v>
      </c>
      <c r="G76" t="s">
        <v>38</v>
      </c>
      <c r="H76">
        <v>0.86411110003245895</v>
      </c>
      <c r="I76" t="s">
        <v>33</v>
      </c>
      <c r="J76">
        <v>10</v>
      </c>
      <c r="K76">
        <v>4</v>
      </c>
      <c r="L76">
        <v>74</v>
      </c>
      <c r="M76">
        <v>0</v>
      </c>
      <c r="N76">
        <v>152.56661939999299</v>
      </c>
      <c r="P76">
        <v>152.559832099999</v>
      </c>
      <c r="Q76">
        <v>152.56661939999299</v>
      </c>
      <c r="R76">
        <v>153.55405420000801</v>
      </c>
      <c r="S76">
        <v>153.55405420000801</v>
      </c>
      <c r="T76">
        <v>153.56867260002701</v>
      </c>
      <c r="U76">
        <v>154.43230179999901</v>
      </c>
      <c r="V76" t="s">
        <v>38</v>
      </c>
      <c r="W76">
        <v>0.86411110003245895</v>
      </c>
      <c r="X76" t="s">
        <v>33</v>
      </c>
      <c r="Y76">
        <v>411160</v>
      </c>
      <c r="Z76">
        <v>1</v>
      </c>
      <c r="AA76" t="s">
        <v>34</v>
      </c>
      <c r="AB76" t="s">
        <v>35</v>
      </c>
      <c r="AD76" t="s">
        <v>36</v>
      </c>
      <c r="AE76">
        <v>59.8779089411114</v>
      </c>
      <c r="AF76" t="s">
        <v>37</v>
      </c>
    </row>
    <row r="77" spans="1:32" x14ac:dyDescent="0.25">
      <c r="A77">
        <v>27</v>
      </c>
      <c r="B77">
        <v>50</v>
      </c>
      <c r="C77">
        <v>21</v>
      </c>
      <c r="D77">
        <v>75</v>
      </c>
      <c r="E77">
        <v>5</v>
      </c>
      <c r="F77">
        <v>10</v>
      </c>
      <c r="G77" t="s">
        <v>38</v>
      </c>
      <c r="H77">
        <v>3.9319411999895202</v>
      </c>
      <c r="I77" t="s">
        <v>33</v>
      </c>
      <c r="J77">
        <v>10</v>
      </c>
      <c r="K77">
        <v>5</v>
      </c>
      <c r="L77">
        <v>75</v>
      </c>
      <c r="M77">
        <v>2</v>
      </c>
      <c r="N77">
        <v>154.44840039999599</v>
      </c>
      <c r="P77">
        <v>154.43858560000001</v>
      </c>
      <c r="Q77">
        <v>154.44840039999599</v>
      </c>
      <c r="R77">
        <v>155.43149879999601</v>
      </c>
      <c r="S77">
        <v>155.43149879999601</v>
      </c>
      <c r="T77">
        <v>155.44865590002101</v>
      </c>
      <c r="U77">
        <v>159.36575840000199</v>
      </c>
      <c r="V77" t="s">
        <v>38</v>
      </c>
      <c r="W77">
        <v>3.9319411999895202</v>
      </c>
      <c r="X77" t="s">
        <v>33</v>
      </c>
      <c r="Y77">
        <v>411160</v>
      </c>
      <c r="Z77">
        <v>1</v>
      </c>
      <c r="AA77" t="s">
        <v>34</v>
      </c>
      <c r="AB77" t="s">
        <v>35</v>
      </c>
      <c r="AD77" t="s">
        <v>36</v>
      </c>
      <c r="AE77">
        <v>59.8779089411114</v>
      </c>
      <c r="AF77" t="s">
        <v>37</v>
      </c>
    </row>
    <row r="78" spans="1:32" x14ac:dyDescent="0.25">
      <c r="A78">
        <v>49</v>
      </c>
      <c r="B78">
        <v>60</v>
      </c>
      <c r="C78">
        <v>89</v>
      </c>
      <c r="D78">
        <v>76</v>
      </c>
      <c r="E78">
        <v>6</v>
      </c>
      <c r="F78">
        <v>10</v>
      </c>
      <c r="G78" t="s">
        <v>32</v>
      </c>
      <c r="H78">
        <v>0.76506820000940901</v>
      </c>
      <c r="I78" t="s">
        <v>33</v>
      </c>
      <c r="J78">
        <v>10</v>
      </c>
      <c r="K78">
        <v>6</v>
      </c>
      <c r="L78">
        <v>76</v>
      </c>
      <c r="M78">
        <v>4</v>
      </c>
      <c r="N78">
        <v>159.38168300001399</v>
      </c>
      <c r="P78">
        <v>159.37093129998499</v>
      </c>
      <c r="Q78">
        <v>159.38168300001399</v>
      </c>
      <c r="R78">
        <v>160.366014600032</v>
      </c>
      <c r="S78">
        <v>160.366014600032</v>
      </c>
      <c r="T78">
        <v>160.38281360000801</v>
      </c>
      <c r="U78">
        <v>161.13503250002299</v>
      </c>
      <c r="V78" t="s">
        <v>32</v>
      </c>
      <c r="W78">
        <v>0.76506820000940901</v>
      </c>
      <c r="X78" t="s">
        <v>33</v>
      </c>
      <c r="Y78">
        <v>411160</v>
      </c>
      <c r="Z78">
        <v>1</v>
      </c>
      <c r="AA78" t="s">
        <v>34</v>
      </c>
      <c r="AB78" t="s">
        <v>35</v>
      </c>
      <c r="AD78" t="s">
        <v>36</v>
      </c>
      <c r="AE78">
        <v>59.8779089411114</v>
      </c>
      <c r="AF78" t="s">
        <v>37</v>
      </c>
    </row>
    <row r="79" spans="1:32" x14ac:dyDescent="0.25">
      <c r="A79">
        <v>78</v>
      </c>
      <c r="B79">
        <v>80</v>
      </c>
      <c r="C79">
        <v>162</v>
      </c>
      <c r="D79">
        <v>77</v>
      </c>
      <c r="E79">
        <v>0</v>
      </c>
      <c r="F79">
        <v>11</v>
      </c>
      <c r="G79" t="s">
        <v>38</v>
      </c>
      <c r="H79">
        <v>0.34791899996344</v>
      </c>
      <c r="I79" t="s">
        <v>33</v>
      </c>
      <c r="J79">
        <v>11</v>
      </c>
      <c r="K79">
        <v>0</v>
      </c>
      <c r="L79">
        <v>77</v>
      </c>
      <c r="M79">
        <v>6</v>
      </c>
      <c r="N79">
        <v>161.153587799984</v>
      </c>
      <c r="P79">
        <v>161.14761510002401</v>
      </c>
      <c r="Q79">
        <v>161.153587799984</v>
      </c>
      <c r="R79">
        <v>162.133189000014</v>
      </c>
      <c r="S79">
        <v>162.133189000014</v>
      </c>
      <c r="T79">
        <v>162.166465800022</v>
      </c>
      <c r="U79">
        <v>162.48236660001501</v>
      </c>
      <c r="V79" t="s">
        <v>38</v>
      </c>
      <c r="W79">
        <v>0.34791899996344</v>
      </c>
      <c r="X79" t="s">
        <v>33</v>
      </c>
      <c r="Y79">
        <v>411160</v>
      </c>
      <c r="Z79">
        <v>1</v>
      </c>
      <c r="AA79" t="s">
        <v>34</v>
      </c>
      <c r="AB79" t="s">
        <v>35</v>
      </c>
      <c r="AD79" t="s">
        <v>36</v>
      </c>
      <c r="AE79">
        <v>59.8779089411114</v>
      </c>
      <c r="AF79" t="s">
        <v>37</v>
      </c>
    </row>
    <row r="80" spans="1:32" x14ac:dyDescent="0.25">
      <c r="A80">
        <v>15</v>
      </c>
      <c r="B80">
        <v>35</v>
      </c>
      <c r="C80">
        <v>13</v>
      </c>
      <c r="D80">
        <v>78</v>
      </c>
      <c r="E80">
        <v>1</v>
      </c>
      <c r="F80">
        <v>11</v>
      </c>
      <c r="G80" t="s">
        <v>32</v>
      </c>
      <c r="H80">
        <v>0.45895389997167502</v>
      </c>
      <c r="I80" t="s">
        <v>33</v>
      </c>
      <c r="J80">
        <v>11</v>
      </c>
      <c r="K80">
        <v>1</v>
      </c>
      <c r="L80">
        <v>78</v>
      </c>
      <c r="M80">
        <v>1</v>
      </c>
      <c r="N80">
        <v>162.498183100018</v>
      </c>
      <c r="P80">
        <v>162.48713090003</v>
      </c>
      <c r="Q80">
        <v>162.498183100018</v>
      </c>
      <c r="R80">
        <v>163.48168920003801</v>
      </c>
      <c r="S80">
        <v>163.48168920003801</v>
      </c>
      <c r="T80">
        <v>163.49894230003699</v>
      </c>
      <c r="U80">
        <v>163.95369890000401</v>
      </c>
      <c r="V80" t="s">
        <v>32</v>
      </c>
      <c r="W80">
        <v>0.45895389997167502</v>
      </c>
      <c r="X80" t="s">
        <v>33</v>
      </c>
      <c r="Y80">
        <v>411160</v>
      </c>
      <c r="Z80">
        <v>1</v>
      </c>
      <c r="AA80" t="s">
        <v>34</v>
      </c>
      <c r="AB80" t="s">
        <v>35</v>
      </c>
      <c r="AD80" t="s">
        <v>36</v>
      </c>
      <c r="AE80">
        <v>59.8779089411114</v>
      </c>
      <c r="AF80" t="s">
        <v>37</v>
      </c>
    </row>
    <row r="81" spans="1:32" x14ac:dyDescent="0.25">
      <c r="A81">
        <v>11</v>
      </c>
      <c r="B81">
        <v>30</v>
      </c>
      <c r="C81">
        <v>7</v>
      </c>
      <c r="D81">
        <v>79</v>
      </c>
      <c r="E81">
        <v>2</v>
      </c>
      <c r="F81">
        <v>11</v>
      </c>
      <c r="G81" t="s">
        <v>38</v>
      </c>
      <c r="H81">
        <v>0.51974250003695399</v>
      </c>
      <c r="I81" t="s">
        <v>33</v>
      </c>
      <c r="J81">
        <v>11</v>
      </c>
      <c r="K81">
        <v>2</v>
      </c>
      <c r="L81">
        <v>79</v>
      </c>
      <c r="M81">
        <v>0</v>
      </c>
      <c r="N81">
        <v>163.98046220000799</v>
      </c>
      <c r="P81">
        <v>163.97490040003299</v>
      </c>
      <c r="Q81">
        <v>163.98046220000799</v>
      </c>
      <c r="R81">
        <v>164.965235100011</v>
      </c>
      <c r="S81">
        <v>164.965235100011</v>
      </c>
      <c r="T81">
        <v>164.98217430000599</v>
      </c>
      <c r="U81">
        <v>165.499250299995</v>
      </c>
      <c r="V81" t="s">
        <v>38</v>
      </c>
      <c r="W81">
        <v>0.51974250003695399</v>
      </c>
      <c r="X81" t="s">
        <v>33</v>
      </c>
      <c r="Y81">
        <v>411160</v>
      </c>
      <c r="Z81">
        <v>1</v>
      </c>
      <c r="AA81" t="s">
        <v>34</v>
      </c>
      <c r="AB81" t="s">
        <v>35</v>
      </c>
      <c r="AD81" t="s">
        <v>36</v>
      </c>
      <c r="AE81">
        <v>59.8779089411114</v>
      </c>
      <c r="AF81" t="s">
        <v>37</v>
      </c>
    </row>
    <row r="82" spans="1:32" x14ac:dyDescent="0.25">
      <c r="A82">
        <v>67</v>
      </c>
      <c r="B82">
        <v>75</v>
      </c>
      <c r="C82">
        <v>119</v>
      </c>
      <c r="D82">
        <v>80</v>
      </c>
      <c r="E82">
        <v>3</v>
      </c>
      <c r="F82">
        <v>11</v>
      </c>
      <c r="G82" t="s">
        <v>32</v>
      </c>
      <c r="H82">
        <v>0.41247929999371902</v>
      </c>
      <c r="I82" t="s">
        <v>33</v>
      </c>
      <c r="J82">
        <v>11</v>
      </c>
      <c r="K82">
        <v>3</v>
      </c>
      <c r="L82">
        <v>80</v>
      </c>
      <c r="M82">
        <v>5</v>
      </c>
      <c r="N82">
        <v>165.51683530001901</v>
      </c>
      <c r="P82">
        <v>165.50686560000699</v>
      </c>
      <c r="Q82">
        <v>165.51683530001901</v>
      </c>
      <c r="R82">
        <v>166.498751899984</v>
      </c>
      <c r="S82">
        <v>166.498751899984</v>
      </c>
      <c r="T82">
        <v>166.53193960001201</v>
      </c>
      <c r="U82">
        <v>166.91724999999801</v>
      </c>
      <c r="V82" t="s">
        <v>32</v>
      </c>
      <c r="W82">
        <v>0.41247929999371902</v>
      </c>
      <c r="X82" t="s">
        <v>33</v>
      </c>
      <c r="Y82">
        <v>411160</v>
      </c>
      <c r="Z82">
        <v>1</v>
      </c>
      <c r="AA82" t="s">
        <v>34</v>
      </c>
      <c r="AB82" t="s">
        <v>35</v>
      </c>
      <c r="AD82" t="s">
        <v>36</v>
      </c>
      <c r="AE82">
        <v>59.8779089411114</v>
      </c>
      <c r="AF82" t="s">
        <v>37</v>
      </c>
    </row>
    <row r="83" spans="1:32" x14ac:dyDescent="0.25">
      <c r="A83">
        <v>40</v>
      </c>
      <c r="B83">
        <v>55</v>
      </c>
      <c r="C83">
        <v>62</v>
      </c>
      <c r="D83">
        <v>81</v>
      </c>
      <c r="E83">
        <v>4</v>
      </c>
      <c r="F83">
        <v>11</v>
      </c>
      <c r="G83" t="s">
        <v>38</v>
      </c>
      <c r="H83">
        <v>0.58835710003040698</v>
      </c>
      <c r="I83" t="s">
        <v>33</v>
      </c>
      <c r="J83">
        <v>11</v>
      </c>
      <c r="K83">
        <v>4</v>
      </c>
      <c r="L83">
        <v>81</v>
      </c>
      <c r="M83">
        <v>3</v>
      </c>
      <c r="N83">
        <v>166.93370629998299</v>
      </c>
      <c r="P83">
        <v>166.92875359998999</v>
      </c>
      <c r="Q83">
        <v>166.93370629998299</v>
      </c>
      <c r="R83">
        <v>167.917480000003</v>
      </c>
      <c r="S83">
        <v>167.917480000003</v>
      </c>
      <c r="T83">
        <v>167.93333040003199</v>
      </c>
      <c r="U83">
        <v>168.517689200001</v>
      </c>
      <c r="V83" t="s">
        <v>38</v>
      </c>
      <c r="W83">
        <v>0.58835710003040698</v>
      </c>
      <c r="X83" t="s">
        <v>33</v>
      </c>
      <c r="Y83">
        <v>411160</v>
      </c>
      <c r="Z83">
        <v>1</v>
      </c>
      <c r="AA83" t="s">
        <v>34</v>
      </c>
      <c r="AB83" t="s">
        <v>35</v>
      </c>
      <c r="AD83" t="s">
        <v>36</v>
      </c>
      <c r="AE83">
        <v>59.8779089411114</v>
      </c>
      <c r="AF83" t="s">
        <v>37</v>
      </c>
    </row>
    <row r="84" spans="1:32" x14ac:dyDescent="0.25">
      <c r="A84">
        <v>27</v>
      </c>
      <c r="B84">
        <v>50</v>
      </c>
      <c r="C84">
        <v>21</v>
      </c>
      <c r="D84">
        <v>82</v>
      </c>
      <c r="E84">
        <v>5</v>
      </c>
      <c r="F84">
        <v>11</v>
      </c>
      <c r="G84" t="s">
        <v>38</v>
      </c>
      <c r="H84">
        <v>1.3421921000117401</v>
      </c>
      <c r="I84" t="s">
        <v>33</v>
      </c>
      <c r="J84">
        <v>11</v>
      </c>
      <c r="K84">
        <v>5</v>
      </c>
      <c r="L84">
        <v>82</v>
      </c>
      <c r="M84">
        <v>2</v>
      </c>
      <c r="N84">
        <v>168.53472970001101</v>
      </c>
      <c r="P84">
        <v>168.52771140000499</v>
      </c>
      <c r="Q84">
        <v>168.53472970001101</v>
      </c>
      <c r="R84">
        <v>169.532592800038</v>
      </c>
      <c r="S84">
        <v>169.532592800038</v>
      </c>
      <c r="T84">
        <v>169.549054900009</v>
      </c>
      <c r="U84">
        <v>170.883272900013</v>
      </c>
      <c r="V84" t="s">
        <v>38</v>
      </c>
      <c r="W84">
        <v>1.3421921000117401</v>
      </c>
      <c r="X84" t="s">
        <v>33</v>
      </c>
      <c r="Y84">
        <v>411160</v>
      </c>
      <c r="Z84">
        <v>1</v>
      </c>
      <c r="AA84" t="s">
        <v>34</v>
      </c>
      <c r="AB84" t="s">
        <v>35</v>
      </c>
      <c r="AD84" t="s">
        <v>36</v>
      </c>
      <c r="AE84">
        <v>59.8779089411114</v>
      </c>
      <c r="AF84" t="s">
        <v>37</v>
      </c>
    </row>
    <row r="85" spans="1:32" x14ac:dyDescent="0.25">
      <c r="A85">
        <v>49</v>
      </c>
      <c r="B85">
        <v>60</v>
      </c>
      <c r="C85">
        <v>89</v>
      </c>
      <c r="D85">
        <v>83</v>
      </c>
      <c r="E85">
        <v>6</v>
      </c>
      <c r="F85">
        <v>11</v>
      </c>
      <c r="G85" t="s">
        <v>38</v>
      </c>
      <c r="H85">
        <v>0.57860479998635095</v>
      </c>
      <c r="I85" t="s">
        <v>33</v>
      </c>
      <c r="J85">
        <v>11</v>
      </c>
      <c r="K85">
        <v>6</v>
      </c>
      <c r="L85">
        <v>83</v>
      </c>
      <c r="M85">
        <v>4</v>
      </c>
      <c r="N85">
        <v>170.89904910000001</v>
      </c>
      <c r="P85">
        <v>170.89099849999101</v>
      </c>
      <c r="Q85">
        <v>170.89904910000001</v>
      </c>
      <c r="R85">
        <v>171.88199210003901</v>
      </c>
      <c r="S85">
        <v>171.88199210003901</v>
      </c>
      <c r="T85">
        <v>171.898657499987</v>
      </c>
      <c r="U85">
        <v>172.46578610001501</v>
      </c>
      <c r="V85" t="s">
        <v>38</v>
      </c>
      <c r="W85">
        <v>0.57860479998635095</v>
      </c>
      <c r="X85" t="s">
        <v>33</v>
      </c>
      <c r="Y85">
        <v>411160</v>
      </c>
      <c r="Z85">
        <v>1</v>
      </c>
      <c r="AA85" t="s">
        <v>34</v>
      </c>
      <c r="AB85" t="s">
        <v>35</v>
      </c>
      <c r="AD85" t="s">
        <v>36</v>
      </c>
      <c r="AE85">
        <v>59.8779089411114</v>
      </c>
      <c r="AF85" t="s">
        <v>37</v>
      </c>
    </row>
    <row r="86" spans="1:32" x14ac:dyDescent="0.25">
      <c r="A86">
        <v>67</v>
      </c>
      <c r="B86">
        <v>75</v>
      </c>
      <c r="C86">
        <v>119</v>
      </c>
      <c r="D86">
        <v>84</v>
      </c>
      <c r="E86">
        <v>0</v>
      </c>
      <c r="F86">
        <v>12</v>
      </c>
      <c r="G86" t="s">
        <v>32</v>
      </c>
      <c r="H86">
        <v>0.535915600019507</v>
      </c>
      <c r="I86" t="s">
        <v>33</v>
      </c>
      <c r="J86">
        <v>12</v>
      </c>
      <c r="K86">
        <v>0</v>
      </c>
      <c r="L86">
        <v>84</v>
      </c>
      <c r="M86">
        <v>5</v>
      </c>
      <c r="N86">
        <v>172.482177900034</v>
      </c>
      <c r="P86">
        <v>172.47071249998399</v>
      </c>
      <c r="Q86">
        <v>172.482177900034</v>
      </c>
      <c r="R86">
        <v>173.465652599988</v>
      </c>
      <c r="S86">
        <v>173.465652599988</v>
      </c>
      <c r="T86">
        <v>173.48230590001901</v>
      </c>
      <c r="U86">
        <v>174.01738949998901</v>
      </c>
      <c r="V86" t="s">
        <v>32</v>
      </c>
      <c r="W86">
        <v>0.535915600019507</v>
      </c>
      <c r="X86" t="s">
        <v>33</v>
      </c>
      <c r="Y86">
        <v>411160</v>
      </c>
      <c r="Z86">
        <v>1</v>
      </c>
      <c r="AA86" t="s">
        <v>34</v>
      </c>
      <c r="AB86" t="s">
        <v>35</v>
      </c>
      <c r="AD86" t="s">
        <v>36</v>
      </c>
      <c r="AE86">
        <v>59.8779089411114</v>
      </c>
      <c r="AF86" t="s">
        <v>37</v>
      </c>
    </row>
    <row r="87" spans="1:32" x14ac:dyDescent="0.25">
      <c r="A87">
        <v>40</v>
      </c>
      <c r="B87">
        <v>55</v>
      </c>
      <c r="C87">
        <v>62</v>
      </c>
      <c r="D87">
        <v>85</v>
      </c>
      <c r="E87">
        <v>1</v>
      </c>
      <c r="F87">
        <v>12</v>
      </c>
      <c r="G87" t="s">
        <v>38</v>
      </c>
      <c r="H87">
        <v>0.99598629999672905</v>
      </c>
      <c r="I87" t="s">
        <v>33</v>
      </c>
      <c r="J87">
        <v>12</v>
      </c>
      <c r="K87">
        <v>1</v>
      </c>
      <c r="L87">
        <v>85</v>
      </c>
      <c r="M87">
        <v>3</v>
      </c>
      <c r="N87">
        <v>174.03199139999899</v>
      </c>
      <c r="P87">
        <v>174.024468999996</v>
      </c>
      <c r="Q87">
        <v>174.03199139999899</v>
      </c>
      <c r="R87">
        <v>175.016868000035</v>
      </c>
      <c r="S87">
        <v>175.016868000035</v>
      </c>
      <c r="T87">
        <v>175.03387819998801</v>
      </c>
      <c r="U87">
        <v>176.016115400008</v>
      </c>
      <c r="V87" t="s">
        <v>38</v>
      </c>
      <c r="W87">
        <v>0.99598629999672905</v>
      </c>
      <c r="X87" t="s">
        <v>33</v>
      </c>
      <c r="Y87">
        <v>411160</v>
      </c>
      <c r="Z87">
        <v>1</v>
      </c>
      <c r="AA87" t="s">
        <v>34</v>
      </c>
      <c r="AB87" t="s">
        <v>35</v>
      </c>
      <c r="AD87" t="s">
        <v>36</v>
      </c>
      <c r="AE87">
        <v>59.8779089411114</v>
      </c>
      <c r="AF87" t="s">
        <v>37</v>
      </c>
    </row>
    <row r="88" spans="1:32" x14ac:dyDescent="0.25">
      <c r="A88">
        <v>27</v>
      </c>
      <c r="B88">
        <v>50</v>
      </c>
      <c r="C88">
        <v>21</v>
      </c>
      <c r="D88">
        <v>86</v>
      </c>
      <c r="E88">
        <v>2</v>
      </c>
      <c r="F88">
        <v>12</v>
      </c>
      <c r="G88" t="s">
        <v>38</v>
      </c>
      <c r="H88">
        <v>0.99296220001997404</v>
      </c>
      <c r="I88" t="s">
        <v>33</v>
      </c>
      <c r="J88">
        <v>12</v>
      </c>
      <c r="K88">
        <v>2</v>
      </c>
      <c r="L88">
        <v>86</v>
      </c>
      <c r="M88">
        <v>2</v>
      </c>
      <c r="N88">
        <v>176.03229669999499</v>
      </c>
      <c r="P88">
        <v>176.021919900027</v>
      </c>
      <c r="Q88">
        <v>176.03229669999499</v>
      </c>
      <c r="R88">
        <v>177.01687650004101</v>
      </c>
      <c r="S88">
        <v>177.01687650004101</v>
      </c>
      <c r="T88">
        <v>177.03356549999401</v>
      </c>
      <c r="U88">
        <v>178.01791870000301</v>
      </c>
      <c r="V88" t="s">
        <v>38</v>
      </c>
      <c r="W88">
        <v>0.99296220001997404</v>
      </c>
      <c r="X88" t="s">
        <v>33</v>
      </c>
      <c r="Y88">
        <v>411160</v>
      </c>
      <c r="Z88">
        <v>1</v>
      </c>
      <c r="AA88" t="s">
        <v>34</v>
      </c>
      <c r="AB88" t="s">
        <v>35</v>
      </c>
      <c r="AD88" t="s">
        <v>36</v>
      </c>
      <c r="AE88">
        <v>59.8779089411114</v>
      </c>
      <c r="AF88" t="s">
        <v>37</v>
      </c>
    </row>
    <row r="89" spans="1:32" x14ac:dyDescent="0.25">
      <c r="A89">
        <v>15</v>
      </c>
      <c r="B89">
        <v>35</v>
      </c>
      <c r="C89">
        <v>13</v>
      </c>
      <c r="D89">
        <v>87</v>
      </c>
      <c r="E89">
        <v>3</v>
      </c>
      <c r="F89">
        <v>12</v>
      </c>
      <c r="G89" t="s">
        <v>38</v>
      </c>
      <c r="H89">
        <v>1.2433307999745</v>
      </c>
      <c r="I89" t="s">
        <v>33</v>
      </c>
      <c r="J89">
        <v>12</v>
      </c>
      <c r="K89">
        <v>3</v>
      </c>
      <c r="L89">
        <v>87</v>
      </c>
      <c r="M89">
        <v>1</v>
      </c>
      <c r="N89">
        <v>178.034033600008</v>
      </c>
      <c r="P89">
        <v>178.02817170001799</v>
      </c>
      <c r="Q89">
        <v>178.034033600008</v>
      </c>
      <c r="R89">
        <v>179.03267829999001</v>
      </c>
      <c r="S89">
        <v>179.03267829999001</v>
      </c>
      <c r="T89">
        <v>179.04933430004101</v>
      </c>
      <c r="U89">
        <v>180.283392200013</v>
      </c>
      <c r="V89" t="s">
        <v>38</v>
      </c>
      <c r="W89">
        <v>1.2433307999745</v>
      </c>
      <c r="X89" t="s">
        <v>33</v>
      </c>
      <c r="Y89">
        <v>411160</v>
      </c>
      <c r="Z89">
        <v>1</v>
      </c>
      <c r="AA89" t="s">
        <v>34</v>
      </c>
      <c r="AB89" t="s">
        <v>35</v>
      </c>
      <c r="AD89" t="s">
        <v>36</v>
      </c>
      <c r="AE89">
        <v>59.8779089411114</v>
      </c>
      <c r="AF89" t="s">
        <v>37</v>
      </c>
    </row>
    <row r="90" spans="1:32" x14ac:dyDescent="0.25">
      <c r="A90">
        <v>78</v>
      </c>
      <c r="B90">
        <v>80</v>
      </c>
      <c r="C90">
        <v>162</v>
      </c>
      <c r="D90">
        <v>88</v>
      </c>
      <c r="E90">
        <v>4</v>
      </c>
      <c r="F90">
        <v>12</v>
      </c>
      <c r="G90" t="s">
        <v>32</v>
      </c>
      <c r="H90">
        <v>0.79356780002126404</v>
      </c>
      <c r="I90" t="s">
        <v>33</v>
      </c>
      <c r="J90">
        <v>12</v>
      </c>
      <c r="K90">
        <v>4</v>
      </c>
      <c r="L90">
        <v>88</v>
      </c>
      <c r="M90">
        <v>6</v>
      </c>
      <c r="N90">
        <v>180.29899969999599</v>
      </c>
      <c r="P90">
        <v>180.28982639999501</v>
      </c>
      <c r="Q90">
        <v>180.29899969999599</v>
      </c>
      <c r="R90">
        <v>181.28614189999601</v>
      </c>
      <c r="S90">
        <v>181.28614189999601</v>
      </c>
      <c r="T90">
        <v>181.30389350000701</v>
      </c>
      <c r="U90">
        <v>182.08590679999901</v>
      </c>
      <c r="V90" t="s">
        <v>32</v>
      </c>
      <c r="W90">
        <v>0.79356780002126404</v>
      </c>
      <c r="X90" t="s">
        <v>33</v>
      </c>
      <c r="Y90">
        <v>411160</v>
      </c>
      <c r="Z90">
        <v>1</v>
      </c>
      <c r="AA90" t="s">
        <v>34</v>
      </c>
      <c r="AB90" t="s">
        <v>35</v>
      </c>
      <c r="AD90" t="s">
        <v>36</v>
      </c>
      <c r="AE90">
        <v>59.8779089411114</v>
      </c>
      <c r="AF90" t="s">
        <v>37</v>
      </c>
    </row>
    <row r="91" spans="1:32" x14ac:dyDescent="0.25">
      <c r="A91">
        <v>11</v>
      </c>
      <c r="B91">
        <v>30</v>
      </c>
      <c r="C91">
        <v>7</v>
      </c>
      <c r="D91">
        <v>89</v>
      </c>
      <c r="E91">
        <v>5</v>
      </c>
      <c r="F91">
        <v>12</v>
      </c>
      <c r="G91" t="s">
        <v>38</v>
      </c>
      <c r="H91">
        <v>1.0820110999629799</v>
      </c>
      <c r="I91" t="s">
        <v>33</v>
      </c>
      <c r="J91">
        <v>12</v>
      </c>
      <c r="K91">
        <v>5</v>
      </c>
      <c r="L91">
        <v>89</v>
      </c>
      <c r="M91">
        <v>0</v>
      </c>
      <c r="N91">
        <v>182.10397530003601</v>
      </c>
      <c r="P91">
        <v>182.098146200005</v>
      </c>
      <c r="Q91">
        <v>182.10397530003601</v>
      </c>
      <c r="R91">
        <v>183.09913829999201</v>
      </c>
      <c r="S91">
        <v>183.09913829999201</v>
      </c>
      <c r="T91">
        <v>183.118261000025</v>
      </c>
      <c r="U91">
        <v>184.18457750004001</v>
      </c>
      <c r="V91" t="s">
        <v>38</v>
      </c>
      <c r="W91">
        <v>1.0820110999629799</v>
      </c>
      <c r="X91" t="s">
        <v>33</v>
      </c>
      <c r="Y91">
        <v>411160</v>
      </c>
      <c r="Z91">
        <v>1</v>
      </c>
      <c r="AA91" t="s">
        <v>34</v>
      </c>
      <c r="AB91" t="s">
        <v>35</v>
      </c>
      <c r="AD91" t="s">
        <v>36</v>
      </c>
      <c r="AE91">
        <v>59.8779089411114</v>
      </c>
      <c r="AF91" t="s">
        <v>37</v>
      </c>
    </row>
    <row r="92" spans="1:32" x14ac:dyDescent="0.25">
      <c r="A92">
        <v>49</v>
      </c>
      <c r="B92">
        <v>60</v>
      </c>
      <c r="C92">
        <v>89</v>
      </c>
      <c r="D92">
        <v>90</v>
      </c>
      <c r="E92">
        <v>6</v>
      </c>
      <c r="F92">
        <v>12</v>
      </c>
      <c r="G92" t="s">
        <v>38</v>
      </c>
      <c r="H92">
        <v>1.6029412999632699</v>
      </c>
      <c r="I92" t="s">
        <v>33</v>
      </c>
      <c r="J92">
        <v>12</v>
      </c>
      <c r="K92">
        <v>6</v>
      </c>
      <c r="L92">
        <v>90</v>
      </c>
      <c r="M92">
        <v>4</v>
      </c>
      <c r="N92">
        <v>184.19913369999199</v>
      </c>
      <c r="P92">
        <v>184.19322780001599</v>
      </c>
      <c r="Q92">
        <v>184.19913369999199</v>
      </c>
      <c r="R92">
        <v>185.18622870004</v>
      </c>
      <c r="S92">
        <v>185.18622870004</v>
      </c>
      <c r="T92">
        <v>185.200959599984</v>
      </c>
      <c r="U92">
        <v>186.80036849999999</v>
      </c>
      <c r="V92" t="s">
        <v>38</v>
      </c>
      <c r="W92">
        <v>1.6029412999632699</v>
      </c>
      <c r="X92" t="s">
        <v>33</v>
      </c>
      <c r="Y92">
        <v>411160</v>
      </c>
      <c r="Z92">
        <v>1</v>
      </c>
      <c r="AA92" t="s">
        <v>34</v>
      </c>
      <c r="AB92" t="s">
        <v>35</v>
      </c>
      <c r="AD92" t="s">
        <v>36</v>
      </c>
      <c r="AE92">
        <v>59.8779089411114</v>
      </c>
      <c r="AF92" t="s">
        <v>37</v>
      </c>
    </row>
    <row r="93" spans="1:32" x14ac:dyDescent="0.25">
      <c r="A93">
        <v>40</v>
      </c>
      <c r="B93">
        <v>55</v>
      </c>
      <c r="C93">
        <v>62</v>
      </c>
      <c r="D93">
        <v>91</v>
      </c>
      <c r="E93">
        <v>0</v>
      </c>
      <c r="F93">
        <v>13</v>
      </c>
      <c r="G93" t="s">
        <v>38</v>
      </c>
      <c r="H93">
        <v>3.5473076000343999</v>
      </c>
      <c r="I93" t="s">
        <v>33</v>
      </c>
      <c r="J93">
        <v>13</v>
      </c>
      <c r="K93">
        <v>0</v>
      </c>
      <c r="L93">
        <v>91</v>
      </c>
      <c r="M93">
        <v>3</v>
      </c>
      <c r="N93">
        <v>186.815830200037</v>
      </c>
      <c r="P93">
        <v>186.80600879999099</v>
      </c>
      <c r="Q93">
        <v>186.815830200037</v>
      </c>
      <c r="R93">
        <v>187.799107300001</v>
      </c>
      <c r="S93">
        <v>187.799107300001</v>
      </c>
      <c r="T93">
        <v>187.81565740000201</v>
      </c>
      <c r="U93">
        <v>191.35006860003301</v>
      </c>
      <c r="V93" t="s">
        <v>38</v>
      </c>
      <c r="W93">
        <v>3.5473076000343999</v>
      </c>
      <c r="X93" t="s">
        <v>33</v>
      </c>
      <c r="Y93">
        <v>411160</v>
      </c>
      <c r="Z93">
        <v>1</v>
      </c>
      <c r="AA93" t="s">
        <v>34</v>
      </c>
      <c r="AB93" t="s">
        <v>35</v>
      </c>
      <c r="AD93" t="s">
        <v>36</v>
      </c>
      <c r="AE93">
        <v>59.8779089411114</v>
      </c>
      <c r="AF93" t="s">
        <v>37</v>
      </c>
    </row>
    <row r="94" spans="1:32" x14ac:dyDescent="0.25">
      <c r="A94">
        <v>11</v>
      </c>
      <c r="B94">
        <v>30</v>
      </c>
      <c r="C94">
        <v>7</v>
      </c>
      <c r="D94">
        <v>92</v>
      </c>
      <c r="E94">
        <v>1</v>
      </c>
      <c r="F94">
        <v>13</v>
      </c>
      <c r="G94" t="s">
        <v>38</v>
      </c>
      <c r="H94">
        <v>1.27520889998413</v>
      </c>
      <c r="I94" t="s">
        <v>33</v>
      </c>
      <c r="J94">
        <v>13</v>
      </c>
      <c r="K94">
        <v>1</v>
      </c>
      <c r="L94">
        <v>92</v>
      </c>
      <c r="M94">
        <v>0</v>
      </c>
      <c r="N94">
        <v>191.36591320001699</v>
      </c>
      <c r="P94">
        <v>191.354844500019</v>
      </c>
      <c r="Q94">
        <v>191.36591320001699</v>
      </c>
      <c r="R94">
        <v>192.351611300022</v>
      </c>
      <c r="S94">
        <v>192.351611300022</v>
      </c>
      <c r="T94">
        <v>192.36812699999399</v>
      </c>
      <c r="U94">
        <v>193.63324719999201</v>
      </c>
      <c r="V94" t="s">
        <v>38</v>
      </c>
      <c r="W94">
        <v>1.27520889998413</v>
      </c>
      <c r="X94" t="s">
        <v>33</v>
      </c>
      <c r="Y94">
        <v>411160</v>
      </c>
      <c r="Z94">
        <v>1</v>
      </c>
      <c r="AA94" t="s">
        <v>34</v>
      </c>
      <c r="AB94" t="s">
        <v>35</v>
      </c>
      <c r="AD94" t="s">
        <v>36</v>
      </c>
      <c r="AE94">
        <v>59.8779089411114</v>
      </c>
      <c r="AF94" t="s">
        <v>37</v>
      </c>
    </row>
    <row r="95" spans="1:32" x14ac:dyDescent="0.25">
      <c r="A95">
        <v>15</v>
      </c>
      <c r="B95">
        <v>35</v>
      </c>
      <c r="C95">
        <v>13</v>
      </c>
      <c r="D95">
        <v>93</v>
      </c>
      <c r="E95">
        <v>2</v>
      </c>
      <c r="F95">
        <v>13</v>
      </c>
      <c r="G95" t="s">
        <v>38</v>
      </c>
      <c r="H95">
        <v>0.81432130001485303</v>
      </c>
      <c r="I95" t="s">
        <v>33</v>
      </c>
      <c r="J95">
        <v>13</v>
      </c>
      <c r="K95">
        <v>2</v>
      </c>
      <c r="L95">
        <v>93</v>
      </c>
      <c r="M95">
        <v>1</v>
      </c>
      <c r="N95">
        <v>193.64944410003901</v>
      </c>
      <c r="P95">
        <v>193.64071589999301</v>
      </c>
      <c r="Q95">
        <v>193.64944410003901</v>
      </c>
      <c r="R95">
        <v>194.634472500009</v>
      </c>
      <c r="S95">
        <v>194.634472500009</v>
      </c>
      <c r="T95">
        <v>194.65112970000999</v>
      </c>
      <c r="U95">
        <v>195.45025090000101</v>
      </c>
      <c r="V95" t="s">
        <v>38</v>
      </c>
      <c r="W95">
        <v>0.81432130001485303</v>
      </c>
      <c r="X95" t="s">
        <v>33</v>
      </c>
      <c r="Y95">
        <v>411160</v>
      </c>
      <c r="Z95">
        <v>1</v>
      </c>
      <c r="AA95" t="s">
        <v>34</v>
      </c>
      <c r="AB95" t="s">
        <v>35</v>
      </c>
      <c r="AD95" t="s">
        <v>36</v>
      </c>
      <c r="AE95">
        <v>59.8779089411114</v>
      </c>
      <c r="AF95" t="s">
        <v>37</v>
      </c>
    </row>
    <row r="96" spans="1:32" x14ac:dyDescent="0.25">
      <c r="A96">
        <v>27</v>
      </c>
      <c r="B96">
        <v>50</v>
      </c>
      <c r="C96">
        <v>21</v>
      </c>
      <c r="D96">
        <v>94</v>
      </c>
      <c r="E96">
        <v>3</v>
      </c>
      <c r="F96">
        <v>13</v>
      </c>
      <c r="G96" t="s">
        <v>38</v>
      </c>
      <c r="H96">
        <v>1.2348122000112101</v>
      </c>
      <c r="I96" t="s">
        <v>33</v>
      </c>
      <c r="J96">
        <v>13</v>
      </c>
      <c r="K96">
        <v>3</v>
      </c>
      <c r="L96">
        <v>94</v>
      </c>
      <c r="M96">
        <v>2</v>
      </c>
      <c r="N96">
        <v>195.46596860000801</v>
      </c>
      <c r="P96">
        <v>195.454681000032</v>
      </c>
      <c r="Q96">
        <v>195.46596860000801</v>
      </c>
      <c r="R96">
        <v>196.45139370003</v>
      </c>
      <c r="S96">
        <v>196.45139370003</v>
      </c>
      <c r="T96">
        <v>196.46912040002599</v>
      </c>
      <c r="U96">
        <v>197.701006699993</v>
      </c>
      <c r="V96" t="s">
        <v>38</v>
      </c>
      <c r="W96">
        <v>1.2348122000112101</v>
      </c>
      <c r="X96" t="s">
        <v>33</v>
      </c>
      <c r="Y96">
        <v>411160</v>
      </c>
      <c r="Z96">
        <v>1</v>
      </c>
      <c r="AA96" t="s">
        <v>34</v>
      </c>
      <c r="AB96" t="s">
        <v>35</v>
      </c>
      <c r="AD96" t="s">
        <v>36</v>
      </c>
      <c r="AE96">
        <v>59.8779089411114</v>
      </c>
      <c r="AF96" t="s">
        <v>37</v>
      </c>
    </row>
    <row r="97" spans="1:32" x14ac:dyDescent="0.25">
      <c r="A97">
        <v>49</v>
      </c>
      <c r="B97">
        <v>60</v>
      </c>
      <c r="C97">
        <v>89</v>
      </c>
      <c r="D97">
        <v>95</v>
      </c>
      <c r="E97">
        <v>4</v>
      </c>
      <c r="F97">
        <v>13</v>
      </c>
      <c r="G97" t="s">
        <v>32</v>
      </c>
      <c r="H97">
        <v>0.484101000009104</v>
      </c>
      <c r="I97" t="s">
        <v>33</v>
      </c>
      <c r="J97">
        <v>13</v>
      </c>
      <c r="K97">
        <v>4</v>
      </c>
      <c r="L97">
        <v>95</v>
      </c>
      <c r="M97">
        <v>4</v>
      </c>
      <c r="N97">
        <v>197.71769600000599</v>
      </c>
      <c r="P97">
        <v>197.71097620000299</v>
      </c>
      <c r="Q97">
        <v>197.71769600000599</v>
      </c>
      <c r="R97">
        <v>198.71600620000299</v>
      </c>
      <c r="S97">
        <v>198.71600620000299</v>
      </c>
      <c r="T97">
        <v>198.733224500028</v>
      </c>
      <c r="U97">
        <v>199.21661990001999</v>
      </c>
      <c r="V97" t="s">
        <v>32</v>
      </c>
      <c r="W97">
        <v>0.484101000009104</v>
      </c>
      <c r="X97" t="s">
        <v>33</v>
      </c>
      <c r="Y97">
        <v>411160</v>
      </c>
      <c r="Z97">
        <v>1</v>
      </c>
      <c r="AA97" t="s">
        <v>34</v>
      </c>
      <c r="AB97" t="s">
        <v>35</v>
      </c>
      <c r="AD97" t="s">
        <v>36</v>
      </c>
      <c r="AE97">
        <v>59.8779089411114</v>
      </c>
      <c r="AF97" t="s">
        <v>37</v>
      </c>
    </row>
    <row r="98" spans="1:32" x14ac:dyDescent="0.25">
      <c r="A98">
        <v>67</v>
      </c>
      <c r="B98">
        <v>75</v>
      </c>
      <c r="C98">
        <v>119</v>
      </c>
      <c r="D98">
        <v>96</v>
      </c>
      <c r="E98">
        <v>5</v>
      </c>
      <c r="F98">
        <v>13</v>
      </c>
      <c r="G98" t="s">
        <v>38</v>
      </c>
      <c r="H98">
        <v>0.37142390001099501</v>
      </c>
      <c r="I98" t="s">
        <v>33</v>
      </c>
      <c r="J98">
        <v>13</v>
      </c>
      <c r="K98">
        <v>5</v>
      </c>
      <c r="L98">
        <v>96</v>
      </c>
      <c r="M98">
        <v>5</v>
      </c>
      <c r="N98">
        <v>199.232848100014</v>
      </c>
      <c r="P98">
        <v>199.22150380001401</v>
      </c>
      <c r="Q98">
        <v>199.232848100014</v>
      </c>
      <c r="R98">
        <v>200.21613180002799</v>
      </c>
      <c r="S98">
        <v>200.21613180002799</v>
      </c>
      <c r="T98">
        <v>200.23304339998799</v>
      </c>
      <c r="U98">
        <v>200.59974580002</v>
      </c>
      <c r="V98" t="s">
        <v>38</v>
      </c>
      <c r="W98">
        <v>0.37142390001099501</v>
      </c>
      <c r="X98" t="s">
        <v>33</v>
      </c>
      <c r="Y98">
        <v>411160</v>
      </c>
      <c r="Z98">
        <v>1</v>
      </c>
      <c r="AA98" t="s">
        <v>34</v>
      </c>
      <c r="AB98" t="s">
        <v>35</v>
      </c>
      <c r="AD98" t="s">
        <v>36</v>
      </c>
      <c r="AE98">
        <v>59.8779089411114</v>
      </c>
      <c r="AF98" t="s">
        <v>37</v>
      </c>
    </row>
    <row r="99" spans="1:32" x14ac:dyDescent="0.25">
      <c r="A99">
        <v>78</v>
      </c>
      <c r="B99">
        <v>80</v>
      </c>
      <c r="C99">
        <v>162</v>
      </c>
      <c r="D99">
        <v>97</v>
      </c>
      <c r="E99">
        <v>6</v>
      </c>
      <c r="F99">
        <v>13</v>
      </c>
      <c r="G99" t="s">
        <v>32</v>
      </c>
      <c r="H99">
        <v>0.297882700047921</v>
      </c>
      <c r="I99" t="s">
        <v>33</v>
      </c>
      <c r="J99">
        <v>13</v>
      </c>
      <c r="K99">
        <v>6</v>
      </c>
      <c r="L99">
        <v>97</v>
      </c>
      <c r="M99">
        <v>6</v>
      </c>
      <c r="N99">
        <v>200.61610710003799</v>
      </c>
      <c r="P99">
        <v>200.60454420000301</v>
      </c>
      <c r="Q99">
        <v>200.61610710003799</v>
      </c>
      <c r="R99">
        <v>201.60328129999101</v>
      </c>
      <c r="S99">
        <v>201.60328129999101</v>
      </c>
      <c r="T99">
        <v>201.61992690002</v>
      </c>
      <c r="U99">
        <v>201.91800230002201</v>
      </c>
      <c r="V99" t="s">
        <v>32</v>
      </c>
      <c r="W99">
        <v>0.297882700047921</v>
      </c>
      <c r="X99" t="s">
        <v>33</v>
      </c>
      <c r="Y99">
        <v>411160</v>
      </c>
      <c r="Z99">
        <v>1</v>
      </c>
      <c r="AA99" t="s">
        <v>34</v>
      </c>
      <c r="AB99" t="s">
        <v>35</v>
      </c>
      <c r="AD99" t="s">
        <v>36</v>
      </c>
      <c r="AE99">
        <v>59.8779089411114</v>
      </c>
      <c r="AF9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>
      <selection activeCell="G20" sqref="G20"/>
    </sheetView>
  </sheetViews>
  <sheetFormatPr defaultRowHeight="15" x14ac:dyDescent="0.25"/>
  <cols>
    <col min="1" max="1" width="11.42578125" customWidth="1"/>
    <col min="2" max="2" width="13.140625" customWidth="1"/>
    <col min="3" max="3" width="12.5703125" customWidth="1"/>
    <col min="4" max="4" width="15.140625" customWidth="1"/>
    <col min="5" max="5" width="14.140625" customWidth="1"/>
    <col min="6" max="6" width="14.7109375" customWidth="1"/>
    <col min="7" max="7" width="2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39</v>
      </c>
      <c r="F1" t="s">
        <v>40</v>
      </c>
      <c r="G1" t="s">
        <v>41</v>
      </c>
    </row>
    <row r="2" spans="1:7" x14ac:dyDescent="0.25">
      <c r="A2">
        <v>78</v>
      </c>
      <c r="B2">
        <v>80</v>
      </c>
      <c r="C2">
        <v>162</v>
      </c>
      <c r="D2" t="s">
        <v>32</v>
      </c>
      <c r="E2">
        <f>((B2/A2)-1/C2)</f>
        <v>1.0194681861348527</v>
      </c>
    </row>
    <row r="3" spans="1:7" x14ac:dyDescent="0.25">
      <c r="A3">
        <v>78</v>
      </c>
      <c r="B3">
        <v>80</v>
      </c>
      <c r="C3">
        <v>162</v>
      </c>
      <c r="D3" t="s">
        <v>32</v>
      </c>
      <c r="E3">
        <f>((B3/A3)-1/C3)</f>
        <v>1.0194681861348527</v>
      </c>
      <c r="G3">
        <f>AVERAGE(F12:F87)</f>
        <v>1.4904376250808258</v>
      </c>
    </row>
    <row r="4" spans="1:7" x14ac:dyDescent="0.25">
      <c r="A4">
        <v>78</v>
      </c>
      <c r="B4">
        <v>80</v>
      </c>
      <c r="C4">
        <v>162</v>
      </c>
      <c r="D4" t="s">
        <v>32</v>
      </c>
      <c r="E4">
        <f>((B4/A4)-1/C4)</f>
        <v>1.0194681861348527</v>
      </c>
    </row>
    <row r="5" spans="1:7" x14ac:dyDescent="0.25">
      <c r="A5">
        <v>78</v>
      </c>
      <c r="B5">
        <v>80</v>
      </c>
      <c r="C5">
        <v>162</v>
      </c>
      <c r="D5" t="s">
        <v>32</v>
      </c>
      <c r="E5">
        <f>((B5/A5)-1/C5)</f>
        <v>1.0194681861348527</v>
      </c>
    </row>
    <row r="6" spans="1:7" x14ac:dyDescent="0.25">
      <c r="A6">
        <v>78</v>
      </c>
      <c r="B6">
        <v>80</v>
      </c>
      <c r="C6">
        <v>162</v>
      </c>
      <c r="D6" t="s">
        <v>32</v>
      </c>
      <c r="E6">
        <f>((B6/A6)-1/C6)</f>
        <v>1.0194681861348527</v>
      </c>
    </row>
    <row r="7" spans="1:7" x14ac:dyDescent="0.25">
      <c r="A7">
        <v>78</v>
      </c>
      <c r="B7">
        <v>80</v>
      </c>
      <c r="C7">
        <v>162</v>
      </c>
      <c r="D7" t="s">
        <v>32</v>
      </c>
      <c r="E7">
        <f>((B7/A7)-1/C7)</f>
        <v>1.0194681861348527</v>
      </c>
    </row>
    <row r="8" spans="1:7" x14ac:dyDescent="0.25">
      <c r="A8">
        <v>78</v>
      </c>
      <c r="B8">
        <v>80</v>
      </c>
      <c r="C8">
        <v>162</v>
      </c>
      <c r="D8" t="s">
        <v>32</v>
      </c>
      <c r="E8">
        <f>((B8/A8)-1/C8)</f>
        <v>1.0194681861348527</v>
      </c>
    </row>
    <row r="9" spans="1:7" x14ac:dyDescent="0.25">
      <c r="A9">
        <v>78</v>
      </c>
      <c r="B9">
        <v>80</v>
      </c>
      <c r="C9">
        <v>162</v>
      </c>
      <c r="D9" t="s">
        <v>32</v>
      </c>
      <c r="E9">
        <f>((B9/A9)-1/C9)</f>
        <v>1.0194681861348527</v>
      </c>
    </row>
    <row r="10" spans="1:7" x14ac:dyDescent="0.25">
      <c r="A10">
        <v>78</v>
      </c>
      <c r="B10">
        <v>80</v>
      </c>
      <c r="C10">
        <v>162</v>
      </c>
      <c r="D10" t="s">
        <v>32</v>
      </c>
      <c r="E10">
        <f>((B10/A10)-1/C10)</f>
        <v>1.0194681861348527</v>
      </c>
    </row>
    <row r="11" spans="1:7" x14ac:dyDescent="0.25">
      <c r="A11">
        <v>78</v>
      </c>
      <c r="B11">
        <v>80</v>
      </c>
      <c r="C11">
        <v>162</v>
      </c>
      <c r="D11" t="s">
        <v>32</v>
      </c>
      <c r="E11">
        <f>((B11/A11)-1/C11)</f>
        <v>1.0194681861348527</v>
      </c>
    </row>
    <row r="12" spans="1:7" x14ac:dyDescent="0.25">
      <c r="A12">
        <v>78</v>
      </c>
      <c r="B12">
        <v>80</v>
      </c>
      <c r="C12">
        <v>162</v>
      </c>
      <c r="D12" t="s">
        <v>32</v>
      </c>
      <c r="E12">
        <f>((B12/A12)-1/C12)</f>
        <v>1.0194681861348527</v>
      </c>
      <c r="F12">
        <f>GEOMEAN(E12:E13)</f>
        <v>1.0194681861348527</v>
      </c>
    </row>
    <row r="13" spans="1:7" x14ac:dyDescent="0.25">
      <c r="A13">
        <v>78</v>
      </c>
      <c r="B13">
        <v>80</v>
      </c>
      <c r="C13">
        <v>162</v>
      </c>
      <c r="D13" t="s">
        <v>38</v>
      </c>
      <c r="E13">
        <f>((B13/A13)-1/C13)</f>
        <v>1.0194681861348527</v>
      </c>
    </row>
    <row r="14" spans="1:7" x14ac:dyDescent="0.25">
      <c r="A14">
        <v>78</v>
      </c>
      <c r="B14">
        <v>80</v>
      </c>
      <c r="C14">
        <v>162</v>
      </c>
      <c r="D14" t="s">
        <v>32</v>
      </c>
      <c r="E14">
        <f>((B14/A14)-1/C14)</f>
        <v>1.0194681861348527</v>
      </c>
    </row>
    <row r="15" spans="1:7" x14ac:dyDescent="0.25">
      <c r="A15">
        <v>78</v>
      </c>
      <c r="B15">
        <v>80</v>
      </c>
      <c r="C15">
        <v>162</v>
      </c>
      <c r="D15" t="s">
        <v>32</v>
      </c>
      <c r="E15">
        <f>((B15/A15)-1/C15)</f>
        <v>1.0194681861348527</v>
      </c>
    </row>
    <row r="16" spans="1:7" x14ac:dyDescent="0.25">
      <c r="A16">
        <v>67</v>
      </c>
      <c r="B16">
        <v>75</v>
      </c>
      <c r="C16">
        <v>119</v>
      </c>
      <c r="D16" t="s">
        <v>32</v>
      </c>
      <c r="E16">
        <f>((B16/A16)-1/C16)</f>
        <v>1.110999623730089</v>
      </c>
      <c r="F16">
        <f>GEOMEAN(E16:E17)</f>
        <v>1.110999623730089</v>
      </c>
    </row>
    <row r="17" spans="1:6" x14ac:dyDescent="0.25">
      <c r="A17">
        <v>67</v>
      </c>
      <c r="B17">
        <v>75</v>
      </c>
      <c r="C17">
        <v>119</v>
      </c>
      <c r="D17" t="s">
        <v>38</v>
      </c>
      <c r="E17">
        <f>((B17/A17)-1/C17)</f>
        <v>1.110999623730089</v>
      </c>
    </row>
    <row r="18" spans="1:6" x14ac:dyDescent="0.25">
      <c r="A18">
        <v>67</v>
      </c>
      <c r="B18">
        <v>75</v>
      </c>
      <c r="C18">
        <v>119</v>
      </c>
      <c r="D18" t="s">
        <v>32</v>
      </c>
      <c r="E18">
        <f>((B18/A18)-1/C18)</f>
        <v>1.110999623730089</v>
      </c>
    </row>
    <row r="19" spans="1:6" x14ac:dyDescent="0.25">
      <c r="A19">
        <v>67</v>
      </c>
      <c r="B19">
        <v>75</v>
      </c>
      <c r="C19">
        <v>119</v>
      </c>
      <c r="D19" t="s">
        <v>32</v>
      </c>
      <c r="E19">
        <f>((B19/A19)-1/C19)</f>
        <v>1.110999623730089</v>
      </c>
    </row>
    <row r="20" spans="1:6" x14ac:dyDescent="0.25">
      <c r="A20">
        <v>67</v>
      </c>
      <c r="B20">
        <v>75</v>
      </c>
      <c r="C20">
        <v>119</v>
      </c>
      <c r="D20" t="s">
        <v>32</v>
      </c>
      <c r="E20">
        <f>((B20/A20)-1/C20)</f>
        <v>1.110999623730089</v>
      </c>
    </row>
    <row r="21" spans="1:6" x14ac:dyDescent="0.25">
      <c r="A21">
        <v>67</v>
      </c>
      <c r="B21">
        <v>75</v>
      </c>
      <c r="C21">
        <v>119</v>
      </c>
      <c r="D21" t="s">
        <v>32</v>
      </c>
      <c r="E21">
        <f>((B21/A21)-1/C21)</f>
        <v>1.110999623730089</v>
      </c>
    </row>
    <row r="22" spans="1:6" x14ac:dyDescent="0.25">
      <c r="A22">
        <v>67</v>
      </c>
      <c r="B22">
        <v>75</v>
      </c>
      <c r="C22">
        <v>119</v>
      </c>
      <c r="D22" t="s">
        <v>32</v>
      </c>
      <c r="E22">
        <f>((B22/A22)-1/C22)</f>
        <v>1.110999623730089</v>
      </c>
    </row>
    <row r="23" spans="1:6" x14ac:dyDescent="0.25">
      <c r="A23">
        <v>67</v>
      </c>
      <c r="B23">
        <v>75</v>
      </c>
      <c r="C23">
        <v>119</v>
      </c>
      <c r="D23" t="s">
        <v>32</v>
      </c>
      <c r="E23">
        <f>((B23/A23)-1/C23)</f>
        <v>1.110999623730089</v>
      </c>
    </row>
    <row r="24" spans="1:6" x14ac:dyDescent="0.25">
      <c r="A24">
        <v>67</v>
      </c>
      <c r="B24">
        <v>75</v>
      </c>
      <c r="C24">
        <v>119</v>
      </c>
      <c r="D24" t="s">
        <v>32</v>
      </c>
      <c r="E24">
        <f>((B24/A24)-1/C24)</f>
        <v>1.110999623730089</v>
      </c>
    </row>
    <row r="25" spans="1:6" x14ac:dyDescent="0.25">
      <c r="A25">
        <v>67</v>
      </c>
      <c r="B25">
        <v>75</v>
      </c>
      <c r="C25">
        <v>119</v>
      </c>
      <c r="D25" t="s">
        <v>32</v>
      </c>
      <c r="E25">
        <f>((B25/A25)-1/C25)</f>
        <v>1.110999623730089</v>
      </c>
    </row>
    <row r="26" spans="1:6" x14ac:dyDescent="0.25">
      <c r="A26">
        <v>67</v>
      </c>
      <c r="B26">
        <v>75</v>
      </c>
      <c r="C26">
        <v>119</v>
      </c>
      <c r="D26" t="s">
        <v>32</v>
      </c>
      <c r="E26">
        <f>((B26/A26)-1/C26)</f>
        <v>1.110999623730089</v>
      </c>
    </row>
    <row r="27" spans="1:6" x14ac:dyDescent="0.25">
      <c r="A27">
        <v>67</v>
      </c>
      <c r="B27">
        <v>75</v>
      </c>
      <c r="C27">
        <v>119</v>
      </c>
      <c r="D27" t="s">
        <v>32</v>
      </c>
      <c r="E27">
        <f>((B27/A27)-1/C27)</f>
        <v>1.110999623730089</v>
      </c>
    </row>
    <row r="28" spans="1:6" x14ac:dyDescent="0.25">
      <c r="A28">
        <v>67</v>
      </c>
      <c r="B28">
        <v>75</v>
      </c>
      <c r="C28">
        <v>119</v>
      </c>
      <c r="D28" t="s">
        <v>32</v>
      </c>
      <c r="E28">
        <f>((B28/A28)-1/C28)</f>
        <v>1.110999623730089</v>
      </c>
      <c r="F28">
        <f>GEOMEAN(E28:E29)</f>
        <v>1.110999623730089</v>
      </c>
    </row>
    <row r="29" spans="1:6" x14ac:dyDescent="0.25">
      <c r="A29">
        <v>67</v>
      </c>
      <c r="B29">
        <v>75</v>
      </c>
      <c r="C29">
        <v>119</v>
      </c>
      <c r="D29" t="s">
        <v>38</v>
      </c>
      <c r="E29">
        <f>((B29/A29)-1/C29)</f>
        <v>1.110999623730089</v>
      </c>
    </row>
    <row r="30" spans="1:6" x14ac:dyDescent="0.25">
      <c r="A30">
        <v>49</v>
      </c>
      <c r="B30">
        <v>60</v>
      </c>
      <c r="C30">
        <v>89</v>
      </c>
      <c r="D30" t="s">
        <v>38</v>
      </c>
      <c r="E30">
        <f>((B30/A30)-1/C30)</f>
        <v>1.2132538408621876</v>
      </c>
    </row>
    <row r="31" spans="1:6" x14ac:dyDescent="0.25">
      <c r="A31">
        <v>49</v>
      </c>
      <c r="B31">
        <v>60</v>
      </c>
      <c r="C31">
        <v>89</v>
      </c>
      <c r="D31" t="s">
        <v>32</v>
      </c>
      <c r="E31">
        <f>((B31/A31)-1/C31)</f>
        <v>1.2132538408621876</v>
      </c>
      <c r="F31">
        <f>GEOMEAN(E31:E32)</f>
        <v>1.2132538408621876</v>
      </c>
    </row>
    <row r="32" spans="1:6" x14ac:dyDescent="0.25">
      <c r="A32">
        <v>49</v>
      </c>
      <c r="B32">
        <v>60</v>
      </c>
      <c r="C32">
        <v>89</v>
      </c>
      <c r="D32" t="s">
        <v>38</v>
      </c>
      <c r="E32">
        <f>((B32/A32)-1/C32)</f>
        <v>1.2132538408621876</v>
      </c>
    </row>
    <row r="33" spans="1:6" x14ac:dyDescent="0.25">
      <c r="A33">
        <v>49</v>
      </c>
      <c r="B33">
        <v>60</v>
      </c>
      <c r="C33">
        <v>89</v>
      </c>
      <c r="D33" t="s">
        <v>32</v>
      </c>
      <c r="E33">
        <f>((B33/A33)-1/C33)</f>
        <v>1.2132538408621876</v>
      </c>
      <c r="F33">
        <f>GEOMEAN(E33:E34)</f>
        <v>1.2132538408621876</v>
      </c>
    </row>
    <row r="34" spans="1:6" x14ac:dyDescent="0.25">
      <c r="A34">
        <v>49</v>
      </c>
      <c r="B34">
        <v>60</v>
      </c>
      <c r="C34">
        <v>89</v>
      </c>
      <c r="D34" t="s">
        <v>38</v>
      </c>
      <c r="E34">
        <f>((B34/A34)-1/C34)</f>
        <v>1.2132538408621876</v>
      </c>
    </row>
    <row r="35" spans="1:6" x14ac:dyDescent="0.25">
      <c r="A35">
        <v>49</v>
      </c>
      <c r="B35">
        <v>60</v>
      </c>
      <c r="C35">
        <v>89</v>
      </c>
      <c r="D35" t="s">
        <v>38</v>
      </c>
      <c r="E35">
        <f>((B35/A35)-1/C35)</f>
        <v>1.2132538408621876</v>
      </c>
    </row>
    <row r="36" spans="1:6" x14ac:dyDescent="0.25">
      <c r="A36">
        <v>49</v>
      </c>
      <c r="B36">
        <v>60</v>
      </c>
      <c r="C36">
        <v>89</v>
      </c>
      <c r="D36" t="s">
        <v>38</v>
      </c>
      <c r="E36">
        <f>((B36/A36)-1/C36)</f>
        <v>1.2132538408621876</v>
      </c>
    </row>
    <row r="37" spans="1:6" x14ac:dyDescent="0.25">
      <c r="A37">
        <v>49</v>
      </c>
      <c r="B37">
        <v>60</v>
      </c>
      <c r="C37">
        <v>89</v>
      </c>
      <c r="D37" t="s">
        <v>32</v>
      </c>
      <c r="E37">
        <f>((B37/A37)-1/C37)</f>
        <v>1.2132538408621876</v>
      </c>
    </row>
    <row r="38" spans="1:6" x14ac:dyDescent="0.25">
      <c r="A38">
        <v>49</v>
      </c>
      <c r="B38">
        <v>60</v>
      </c>
      <c r="C38">
        <v>89</v>
      </c>
      <c r="D38" t="s">
        <v>32</v>
      </c>
      <c r="E38">
        <f>((B38/A38)-1/C38)</f>
        <v>1.2132538408621876</v>
      </c>
      <c r="F38">
        <f>GEOMEAN(E38:E39)</f>
        <v>1.2132538408621876</v>
      </c>
    </row>
    <row r="39" spans="1:6" x14ac:dyDescent="0.25">
      <c r="A39">
        <v>49</v>
      </c>
      <c r="B39">
        <v>60</v>
      </c>
      <c r="C39">
        <v>89</v>
      </c>
      <c r="D39" t="s">
        <v>38</v>
      </c>
      <c r="E39">
        <f>((B39/A39)-1/C39)</f>
        <v>1.2132538408621876</v>
      </c>
    </row>
    <row r="40" spans="1:6" x14ac:dyDescent="0.25">
      <c r="A40">
        <v>49</v>
      </c>
      <c r="B40">
        <v>60</v>
      </c>
      <c r="C40">
        <v>89</v>
      </c>
      <c r="D40" t="s">
        <v>32</v>
      </c>
      <c r="E40">
        <f>((B40/A40)-1/C40)</f>
        <v>1.2132538408621876</v>
      </c>
      <c r="F40">
        <f>GEOMEAN(E40:E41)</f>
        <v>1.2132538408621876</v>
      </c>
    </row>
    <row r="41" spans="1:6" x14ac:dyDescent="0.25">
      <c r="A41">
        <v>49</v>
      </c>
      <c r="B41">
        <v>60</v>
      </c>
      <c r="C41">
        <v>89</v>
      </c>
      <c r="D41" t="s">
        <v>38</v>
      </c>
      <c r="E41">
        <f>((B41/A41)-1/C41)</f>
        <v>1.2132538408621876</v>
      </c>
    </row>
    <row r="42" spans="1:6" x14ac:dyDescent="0.25">
      <c r="A42">
        <v>49</v>
      </c>
      <c r="B42">
        <v>60</v>
      </c>
      <c r="C42">
        <v>89</v>
      </c>
      <c r="D42" t="s">
        <v>38</v>
      </c>
      <c r="E42">
        <f>((B42/A42)-1/C42)</f>
        <v>1.2132538408621876</v>
      </c>
    </row>
    <row r="43" spans="1:6" x14ac:dyDescent="0.25">
      <c r="A43">
        <v>49</v>
      </c>
      <c r="B43">
        <v>60</v>
      </c>
      <c r="C43">
        <v>89</v>
      </c>
      <c r="D43" t="s">
        <v>32</v>
      </c>
      <c r="E43">
        <f>((B43/A43)-1/C43)</f>
        <v>1.2132538408621876</v>
      </c>
      <c r="F43">
        <f>GEOMEAN(E43:E44)</f>
        <v>1.283999774473898</v>
      </c>
    </row>
    <row r="44" spans="1:6" x14ac:dyDescent="0.25">
      <c r="A44">
        <v>40</v>
      </c>
      <c r="B44">
        <v>55</v>
      </c>
      <c r="C44">
        <v>62</v>
      </c>
      <c r="D44" t="s">
        <v>38</v>
      </c>
      <c r="E44">
        <f>((B44/A44)-1/C44)</f>
        <v>1.3588709677419355</v>
      </c>
    </row>
    <row r="45" spans="1:6" x14ac:dyDescent="0.25">
      <c r="A45">
        <v>40</v>
      </c>
      <c r="B45">
        <v>55</v>
      </c>
      <c r="C45">
        <v>62</v>
      </c>
      <c r="D45" t="s">
        <v>32</v>
      </c>
      <c r="E45">
        <f>((B45/A45)-1/C45)</f>
        <v>1.3588709677419355</v>
      </c>
      <c r="F45">
        <f>GEOMEAN(E45:E46)</f>
        <v>1.3588709677419355</v>
      </c>
    </row>
    <row r="46" spans="1:6" x14ac:dyDescent="0.25">
      <c r="A46">
        <v>40</v>
      </c>
      <c r="B46">
        <v>55</v>
      </c>
      <c r="C46">
        <v>62</v>
      </c>
      <c r="D46" t="s">
        <v>38</v>
      </c>
      <c r="E46">
        <f>((B46/A46)-1/C46)</f>
        <v>1.3588709677419355</v>
      </c>
    </row>
    <row r="47" spans="1:6" x14ac:dyDescent="0.25">
      <c r="A47">
        <v>40</v>
      </c>
      <c r="B47">
        <v>55</v>
      </c>
      <c r="C47">
        <v>62</v>
      </c>
      <c r="D47" t="s">
        <v>32</v>
      </c>
      <c r="E47">
        <f>((B47/A47)-1/C47)</f>
        <v>1.3588709677419355</v>
      </c>
    </row>
    <row r="48" spans="1:6" x14ac:dyDescent="0.25">
      <c r="A48">
        <v>40</v>
      </c>
      <c r="B48">
        <v>55</v>
      </c>
      <c r="C48">
        <v>62</v>
      </c>
      <c r="D48" t="s">
        <v>32</v>
      </c>
      <c r="E48">
        <f>((B48/A48)-1/C48)</f>
        <v>1.3588709677419355</v>
      </c>
      <c r="F48">
        <f>GEOMEAN(E48:E49)</f>
        <v>1.3588709677419355</v>
      </c>
    </row>
    <row r="49" spans="1:6" x14ac:dyDescent="0.25">
      <c r="A49">
        <v>40</v>
      </c>
      <c r="B49">
        <v>55</v>
      </c>
      <c r="C49">
        <v>62</v>
      </c>
      <c r="D49" t="s">
        <v>38</v>
      </c>
      <c r="E49">
        <f>((B49/A49)-1/C49)</f>
        <v>1.3588709677419355</v>
      </c>
    </row>
    <row r="50" spans="1:6" x14ac:dyDescent="0.25">
      <c r="A50">
        <v>40</v>
      </c>
      <c r="B50">
        <v>55</v>
      </c>
      <c r="C50">
        <v>62</v>
      </c>
      <c r="D50" t="s">
        <v>38</v>
      </c>
      <c r="E50">
        <f>((B50/A50)-1/C50)</f>
        <v>1.3588709677419355</v>
      </c>
    </row>
    <row r="51" spans="1:6" x14ac:dyDescent="0.25">
      <c r="A51">
        <v>40</v>
      </c>
      <c r="B51">
        <v>55</v>
      </c>
      <c r="C51">
        <v>62</v>
      </c>
      <c r="D51" t="s">
        <v>38</v>
      </c>
      <c r="E51">
        <f>((B51/A51)-1/C51)</f>
        <v>1.3588709677419355</v>
      </c>
    </row>
    <row r="52" spans="1:6" x14ac:dyDescent="0.25">
      <c r="A52">
        <v>40</v>
      </c>
      <c r="B52">
        <v>55</v>
      </c>
      <c r="C52">
        <v>62</v>
      </c>
      <c r="D52" t="s">
        <v>38</v>
      </c>
      <c r="E52">
        <f>((B52/A52)-1/C52)</f>
        <v>1.3588709677419355</v>
      </c>
    </row>
    <row r="53" spans="1:6" x14ac:dyDescent="0.25">
      <c r="A53">
        <v>40</v>
      </c>
      <c r="B53">
        <v>55</v>
      </c>
      <c r="C53">
        <v>62</v>
      </c>
      <c r="D53" t="s">
        <v>38</v>
      </c>
      <c r="E53">
        <f>((B53/A53)-1/C53)</f>
        <v>1.3588709677419355</v>
      </c>
    </row>
    <row r="54" spans="1:6" x14ac:dyDescent="0.25">
      <c r="A54">
        <v>40</v>
      </c>
      <c r="B54">
        <v>55</v>
      </c>
      <c r="C54">
        <v>62</v>
      </c>
      <c r="D54" t="s">
        <v>32</v>
      </c>
      <c r="E54">
        <f>((B54/A54)-1/C54)</f>
        <v>1.3588709677419355</v>
      </c>
      <c r="F54">
        <f>GEOMEAN(E54:E55)</f>
        <v>1.3588709677419355</v>
      </c>
    </row>
    <row r="55" spans="1:6" x14ac:dyDescent="0.25">
      <c r="A55">
        <v>40</v>
      </c>
      <c r="B55">
        <v>55</v>
      </c>
      <c r="C55">
        <v>62</v>
      </c>
      <c r="D55" t="s">
        <v>38</v>
      </c>
      <c r="E55">
        <f>((B55/A55)-1/C55)</f>
        <v>1.3588709677419355</v>
      </c>
    </row>
    <row r="56" spans="1:6" x14ac:dyDescent="0.25">
      <c r="A56">
        <v>40</v>
      </c>
      <c r="B56">
        <v>55</v>
      </c>
      <c r="C56">
        <v>62</v>
      </c>
      <c r="D56" t="s">
        <v>38</v>
      </c>
      <c r="E56">
        <f>((B56/A56)-1/C56)</f>
        <v>1.3588709677419355</v>
      </c>
    </row>
    <row r="57" spans="1:6" x14ac:dyDescent="0.25">
      <c r="A57">
        <v>40</v>
      </c>
      <c r="B57">
        <v>55</v>
      </c>
      <c r="C57">
        <v>62</v>
      </c>
      <c r="D57" t="s">
        <v>38</v>
      </c>
      <c r="E57">
        <f>((B57/A57)-1/C57)</f>
        <v>1.3588709677419355</v>
      </c>
    </row>
    <row r="58" spans="1:6" x14ac:dyDescent="0.25">
      <c r="A58">
        <v>27</v>
      </c>
      <c r="B58">
        <v>50</v>
      </c>
      <c r="C58">
        <v>21</v>
      </c>
      <c r="D58" t="s">
        <v>38</v>
      </c>
      <c r="E58">
        <f>((B58/A58)-1/C58)</f>
        <v>1.8042328042328042</v>
      </c>
    </row>
    <row r="59" spans="1:6" x14ac:dyDescent="0.25">
      <c r="A59">
        <v>27</v>
      </c>
      <c r="B59">
        <v>50</v>
      </c>
      <c r="C59">
        <v>21</v>
      </c>
      <c r="D59" t="s">
        <v>38</v>
      </c>
      <c r="E59">
        <f>((B59/A59)-1/C59)</f>
        <v>1.8042328042328042</v>
      </c>
    </row>
    <row r="60" spans="1:6" x14ac:dyDescent="0.25">
      <c r="A60">
        <v>27</v>
      </c>
      <c r="B60">
        <v>50</v>
      </c>
      <c r="C60">
        <v>21</v>
      </c>
      <c r="D60" t="s">
        <v>38</v>
      </c>
      <c r="E60">
        <f>((B60/A60)-1/C60)</f>
        <v>1.8042328042328042</v>
      </c>
    </row>
    <row r="61" spans="1:6" x14ac:dyDescent="0.25">
      <c r="A61">
        <v>27</v>
      </c>
      <c r="B61">
        <v>50</v>
      </c>
      <c r="C61">
        <v>21</v>
      </c>
      <c r="D61" t="s">
        <v>38</v>
      </c>
      <c r="E61">
        <f>((B61/A61)-1/C61)</f>
        <v>1.8042328042328042</v>
      </c>
    </row>
    <row r="62" spans="1:6" x14ac:dyDescent="0.25">
      <c r="A62">
        <v>27</v>
      </c>
      <c r="B62">
        <v>50</v>
      </c>
      <c r="C62">
        <v>21</v>
      </c>
      <c r="D62" t="s">
        <v>38</v>
      </c>
      <c r="E62">
        <f>((B62/A62)-1/C62)</f>
        <v>1.8042328042328042</v>
      </c>
    </row>
    <row r="63" spans="1:6" x14ac:dyDescent="0.25">
      <c r="A63">
        <v>27</v>
      </c>
      <c r="B63">
        <v>50</v>
      </c>
      <c r="C63">
        <v>21</v>
      </c>
      <c r="D63" t="s">
        <v>32</v>
      </c>
      <c r="E63">
        <f>((B63/A63)-1/C63)</f>
        <v>1.8042328042328042</v>
      </c>
    </row>
    <row r="64" spans="1:6" x14ac:dyDescent="0.25">
      <c r="A64">
        <v>27</v>
      </c>
      <c r="B64">
        <v>50</v>
      </c>
      <c r="C64">
        <v>21</v>
      </c>
      <c r="D64" t="s">
        <v>32</v>
      </c>
      <c r="E64">
        <f>((B64/A64)-1/C64)</f>
        <v>1.8042328042328042</v>
      </c>
    </row>
    <row r="65" spans="1:6" x14ac:dyDescent="0.25">
      <c r="A65">
        <v>27</v>
      </c>
      <c r="B65">
        <v>50</v>
      </c>
      <c r="C65">
        <v>21</v>
      </c>
      <c r="D65" t="s">
        <v>32</v>
      </c>
      <c r="E65">
        <f>((B65/A65)-1/C65)</f>
        <v>1.8042328042328042</v>
      </c>
      <c r="F65">
        <f>GEOMEAN(E65:E66)</f>
        <v>1.8042328042328042</v>
      </c>
    </row>
    <row r="66" spans="1:6" x14ac:dyDescent="0.25">
      <c r="A66">
        <v>27</v>
      </c>
      <c r="B66">
        <v>50</v>
      </c>
      <c r="C66">
        <v>21</v>
      </c>
      <c r="D66" t="s">
        <v>38</v>
      </c>
      <c r="E66">
        <f>((B66/A66)-1/C66)</f>
        <v>1.8042328042328042</v>
      </c>
    </row>
    <row r="67" spans="1:6" x14ac:dyDescent="0.25">
      <c r="A67">
        <v>27</v>
      </c>
      <c r="B67">
        <v>50</v>
      </c>
      <c r="C67">
        <v>21</v>
      </c>
      <c r="D67" t="s">
        <v>38</v>
      </c>
      <c r="E67">
        <f>((B67/A67)-1/C67)</f>
        <v>1.8042328042328042</v>
      </c>
    </row>
    <row r="68" spans="1:6" x14ac:dyDescent="0.25">
      <c r="A68">
        <v>27</v>
      </c>
      <c r="B68">
        <v>50</v>
      </c>
      <c r="C68">
        <v>21</v>
      </c>
      <c r="D68" t="s">
        <v>38</v>
      </c>
      <c r="E68">
        <f>((B68/A68)-1/C68)</f>
        <v>1.8042328042328042</v>
      </c>
    </row>
    <row r="69" spans="1:6" x14ac:dyDescent="0.25">
      <c r="A69">
        <v>27</v>
      </c>
      <c r="B69">
        <v>50</v>
      </c>
      <c r="C69">
        <v>21</v>
      </c>
      <c r="D69" t="s">
        <v>38</v>
      </c>
      <c r="E69">
        <f>((B69/A69)-1/C69)</f>
        <v>1.8042328042328042</v>
      </c>
    </row>
    <row r="70" spans="1:6" x14ac:dyDescent="0.25">
      <c r="A70">
        <v>27</v>
      </c>
      <c r="B70">
        <v>50</v>
      </c>
      <c r="C70">
        <v>21</v>
      </c>
      <c r="D70" t="s">
        <v>38</v>
      </c>
      <c r="E70">
        <f>((B70/A70)-1/C70)</f>
        <v>1.8042328042328042</v>
      </c>
    </row>
    <row r="71" spans="1:6" x14ac:dyDescent="0.25">
      <c r="A71">
        <v>27</v>
      </c>
      <c r="B71">
        <v>50</v>
      </c>
      <c r="C71">
        <v>21</v>
      </c>
      <c r="D71" t="s">
        <v>38</v>
      </c>
      <c r="E71">
        <f>((B71/A71)-1/C71)</f>
        <v>1.8042328042328042</v>
      </c>
    </row>
    <row r="72" spans="1:6" x14ac:dyDescent="0.25">
      <c r="A72">
        <v>15</v>
      </c>
      <c r="B72">
        <v>35</v>
      </c>
      <c r="C72">
        <v>13</v>
      </c>
      <c r="D72" t="s">
        <v>38</v>
      </c>
      <c r="E72">
        <f>((B72/A72)-1/C72)</f>
        <v>2.2564102564102564</v>
      </c>
    </row>
    <row r="73" spans="1:6" x14ac:dyDescent="0.25">
      <c r="A73">
        <v>15</v>
      </c>
      <c r="B73">
        <v>35</v>
      </c>
      <c r="C73">
        <v>13</v>
      </c>
      <c r="D73" t="s">
        <v>38</v>
      </c>
      <c r="E73">
        <f>((B73/A73)-1/C73)</f>
        <v>2.2564102564102564</v>
      </c>
    </row>
    <row r="74" spans="1:6" x14ac:dyDescent="0.25">
      <c r="A74">
        <v>15</v>
      </c>
      <c r="B74">
        <v>35</v>
      </c>
      <c r="C74">
        <v>13</v>
      </c>
      <c r="D74" t="s">
        <v>38</v>
      </c>
      <c r="E74">
        <f>((B74/A74)-1/C74)</f>
        <v>2.2564102564102564</v>
      </c>
    </row>
    <row r="75" spans="1:6" x14ac:dyDescent="0.25">
      <c r="A75">
        <v>15</v>
      </c>
      <c r="B75">
        <v>35</v>
      </c>
      <c r="C75">
        <v>13</v>
      </c>
      <c r="D75" t="s">
        <v>38</v>
      </c>
      <c r="E75">
        <f>((B75/A75)-1/C75)</f>
        <v>2.2564102564102564</v>
      </c>
    </row>
    <row r="76" spans="1:6" x14ac:dyDescent="0.25">
      <c r="A76">
        <v>15</v>
      </c>
      <c r="B76">
        <v>35</v>
      </c>
      <c r="C76">
        <v>13</v>
      </c>
      <c r="D76" t="s">
        <v>38</v>
      </c>
      <c r="E76">
        <f>((B76/A76)-1/C76)</f>
        <v>2.2564102564102564</v>
      </c>
    </row>
    <row r="77" spans="1:6" x14ac:dyDescent="0.25">
      <c r="A77">
        <v>15</v>
      </c>
      <c r="B77">
        <v>35</v>
      </c>
      <c r="C77">
        <v>13</v>
      </c>
      <c r="D77" t="s">
        <v>38</v>
      </c>
      <c r="E77">
        <f>((B77/A77)-1/C77)</f>
        <v>2.2564102564102564</v>
      </c>
    </row>
    <row r="78" spans="1:6" x14ac:dyDescent="0.25">
      <c r="A78">
        <v>15</v>
      </c>
      <c r="B78">
        <v>35</v>
      </c>
      <c r="C78">
        <v>13</v>
      </c>
      <c r="D78" t="s">
        <v>32</v>
      </c>
      <c r="E78">
        <f>((B78/A78)-1/C78)</f>
        <v>2.2564102564102564</v>
      </c>
      <c r="F78">
        <f>GEOMEAN(E78:E79)</f>
        <v>2.2564102564102564</v>
      </c>
    </row>
    <row r="79" spans="1:6" x14ac:dyDescent="0.25">
      <c r="A79">
        <v>15</v>
      </c>
      <c r="B79">
        <v>35</v>
      </c>
      <c r="C79">
        <v>13</v>
      </c>
      <c r="D79" t="s">
        <v>38</v>
      </c>
      <c r="E79">
        <f>((B79/A79)-1/C79)</f>
        <v>2.2564102564102564</v>
      </c>
    </row>
    <row r="80" spans="1:6" x14ac:dyDescent="0.25">
      <c r="A80">
        <v>15</v>
      </c>
      <c r="B80">
        <v>35</v>
      </c>
      <c r="C80">
        <v>13</v>
      </c>
      <c r="D80" t="s">
        <v>38</v>
      </c>
      <c r="E80">
        <f>((B80/A80)-1/C80)</f>
        <v>2.2564102564102564</v>
      </c>
    </row>
    <row r="81" spans="1:6" x14ac:dyDescent="0.25">
      <c r="A81">
        <v>15</v>
      </c>
      <c r="B81">
        <v>35</v>
      </c>
      <c r="C81">
        <v>13</v>
      </c>
      <c r="D81" t="s">
        <v>38</v>
      </c>
      <c r="E81">
        <f>((B81/A81)-1/C81)</f>
        <v>2.2564102564102564</v>
      </c>
    </row>
    <row r="82" spans="1:6" x14ac:dyDescent="0.25">
      <c r="A82">
        <v>15</v>
      </c>
      <c r="B82">
        <v>35</v>
      </c>
      <c r="C82">
        <v>13</v>
      </c>
      <c r="D82" t="s">
        <v>32</v>
      </c>
      <c r="E82">
        <f>((B82/A82)-1/C82)</f>
        <v>2.2564102564102564</v>
      </c>
    </row>
    <row r="83" spans="1:6" x14ac:dyDescent="0.25">
      <c r="A83">
        <v>15</v>
      </c>
      <c r="B83">
        <v>35</v>
      </c>
      <c r="C83">
        <v>13</v>
      </c>
      <c r="D83" t="s">
        <v>32</v>
      </c>
      <c r="E83">
        <f>((B83/A83)-1/C83)</f>
        <v>2.2564102564102564</v>
      </c>
      <c r="F83">
        <f>GEOMEAN(E83:E84)</f>
        <v>2.2564102564102564</v>
      </c>
    </row>
    <row r="84" spans="1:6" x14ac:dyDescent="0.25">
      <c r="A84">
        <v>15</v>
      </c>
      <c r="B84">
        <v>35</v>
      </c>
      <c r="C84">
        <v>13</v>
      </c>
      <c r="D84" t="s">
        <v>38</v>
      </c>
      <c r="E84">
        <f>((B84/A84)-1/C84)</f>
        <v>2.2564102564102564</v>
      </c>
    </row>
    <row r="85" spans="1:6" x14ac:dyDescent="0.25">
      <c r="A85">
        <v>15</v>
      </c>
      <c r="B85">
        <v>35</v>
      </c>
      <c r="C85">
        <v>13</v>
      </c>
      <c r="D85" t="s">
        <v>38</v>
      </c>
      <c r="E85">
        <f>((B85/A85)-1/C85)</f>
        <v>2.2564102564102564</v>
      </c>
    </row>
    <row r="86" spans="1:6" x14ac:dyDescent="0.25">
      <c r="A86">
        <v>11</v>
      </c>
      <c r="B86">
        <v>30</v>
      </c>
      <c r="C86">
        <v>7</v>
      </c>
      <c r="D86" t="s">
        <v>38</v>
      </c>
      <c r="E86">
        <f>((B86/A86)-1/C86)</f>
        <v>2.5844155844155843</v>
      </c>
    </row>
    <row r="87" spans="1:6" x14ac:dyDescent="0.25">
      <c r="A87">
        <v>11</v>
      </c>
      <c r="B87">
        <v>30</v>
      </c>
      <c r="C87">
        <v>7</v>
      </c>
      <c r="D87" t="s">
        <v>32</v>
      </c>
      <c r="E87">
        <f>((B87/A87)-1/C87)</f>
        <v>2.5844155844155843</v>
      </c>
      <c r="F87">
        <f>GEOMEAN(E87:E88)</f>
        <v>2.5844155844155843</v>
      </c>
    </row>
    <row r="88" spans="1:6" x14ac:dyDescent="0.25">
      <c r="A88">
        <v>11</v>
      </c>
      <c r="B88">
        <v>30</v>
      </c>
      <c r="C88">
        <v>7</v>
      </c>
      <c r="D88" t="s">
        <v>38</v>
      </c>
      <c r="E88">
        <f>((B88/A88)-1/C88)</f>
        <v>2.5844155844155843</v>
      </c>
    </row>
    <row r="89" spans="1:6" x14ac:dyDescent="0.25">
      <c r="A89">
        <v>11</v>
      </c>
      <c r="B89">
        <v>30</v>
      </c>
      <c r="C89">
        <v>7</v>
      </c>
      <c r="D89" t="s">
        <v>38</v>
      </c>
      <c r="E89">
        <f>((B89/A89)-1/C89)</f>
        <v>2.5844155844155843</v>
      </c>
    </row>
    <row r="90" spans="1:6" x14ac:dyDescent="0.25">
      <c r="A90">
        <v>11</v>
      </c>
      <c r="B90">
        <v>30</v>
      </c>
      <c r="C90">
        <v>7</v>
      </c>
      <c r="D90" t="s">
        <v>38</v>
      </c>
      <c r="E90">
        <f>((B90/A90)-1/C90)</f>
        <v>2.5844155844155843</v>
      </c>
    </row>
    <row r="91" spans="1:6" x14ac:dyDescent="0.25">
      <c r="A91">
        <v>11</v>
      </c>
      <c r="B91">
        <v>30</v>
      </c>
      <c r="C91">
        <v>7</v>
      </c>
      <c r="D91" t="s">
        <v>38</v>
      </c>
      <c r="E91">
        <f>((B91/A91)-1/C91)</f>
        <v>2.5844155844155843</v>
      </c>
    </row>
    <row r="92" spans="1:6" x14ac:dyDescent="0.25">
      <c r="A92">
        <v>11</v>
      </c>
      <c r="B92">
        <v>30</v>
      </c>
      <c r="C92">
        <v>7</v>
      </c>
      <c r="D92" t="s">
        <v>38</v>
      </c>
      <c r="E92">
        <f>((B92/A92)-1/C92)</f>
        <v>2.5844155844155843</v>
      </c>
    </row>
    <row r="93" spans="1:6" x14ac:dyDescent="0.25">
      <c r="A93">
        <v>11</v>
      </c>
      <c r="B93">
        <v>30</v>
      </c>
      <c r="C93">
        <v>7</v>
      </c>
      <c r="D93" t="s">
        <v>38</v>
      </c>
      <c r="E93">
        <f>((B93/A93)-1/C93)</f>
        <v>2.5844155844155843</v>
      </c>
    </row>
    <row r="94" spans="1:6" x14ac:dyDescent="0.25">
      <c r="A94">
        <v>11</v>
      </c>
      <c r="B94">
        <v>30</v>
      </c>
      <c r="C94">
        <v>7</v>
      </c>
      <c r="D94" t="s">
        <v>38</v>
      </c>
      <c r="E94">
        <f>((B94/A94)-1/C94)</f>
        <v>2.5844155844155843</v>
      </c>
    </row>
    <row r="95" spans="1:6" x14ac:dyDescent="0.25">
      <c r="A95">
        <v>11</v>
      </c>
      <c r="B95">
        <v>30</v>
      </c>
      <c r="C95">
        <v>7</v>
      </c>
      <c r="D95" t="s">
        <v>38</v>
      </c>
      <c r="E95">
        <f>((B95/A95)-1/C95)</f>
        <v>2.5844155844155843</v>
      </c>
    </row>
    <row r="96" spans="1:6" x14ac:dyDescent="0.25">
      <c r="A96">
        <v>11</v>
      </c>
      <c r="B96">
        <v>30</v>
      </c>
      <c r="C96">
        <v>7</v>
      </c>
      <c r="D96" t="s">
        <v>38</v>
      </c>
      <c r="E96">
        <f>((B96/A96)-1/C96)</f>
        <v>2.5844155844155843</v>
      </c>
    </row>
    <row r="97" spans="1:5" x14ac:dyDescent="0.25">
      <c r="A97">
        <v>11</v>
      </c>
      <c r="B97">
        <v>30</v>
      </c>
      <c r="C97">
        <v>7</v>
      </c>
      <c r="D97" t="s">
        <v>38</v>
      </c>
      <c r="E97">
        <f>((B97/A97)-1/C97)</f>
        <v>2.5844155844155843</v>
      </c>
    </row>
    <row r="98" spans="1:5" x14ac:dyDescent="0.25">
      <c r="A98">
        <v>11</v>
      </c>
      <c r="B98">
        <v>30</v>
      </c>
      <c r="C98">
        <v>7</v>
      </c>
      <c r="D98" t="s">
        <v>38</v>
      </c>
      <c r="E98">
        <f>((B98/A98)-1/C98)</f>
        <v>2.5844155844155843</v>
      </c>
    </row>
    <row r="99" spans="1:5" x14ac:dyDescent="0.25">
      <c r="A99">
        <v>11</v>
      </c>
      <c r="B99">
        <v>30</v>
      </c>
      <c r="C99">
        <v>7</v>
      </c>
      <c r="D99" t="s">
        <v>38</v>
      </c>
      <c r="E99">
        <f>((B99/A99)-1/C99)</f>
        <v>2.5844155844155843</v>
      </c>
    </row>
  </sheetData>
  <sortState ref="A2:E99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411160_Discounting_exp_2025-11-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2025-11-05T18:44:09Z</dcterms:created>
  <dcterms:modified xsi:type="dcterms:W3CDTF">2025-11-06T10:05:01Z</dcterms:modified>
</cp:coreProperties>
</file>