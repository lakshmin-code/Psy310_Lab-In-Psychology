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cuments\Discounting Data\data\"/>
    </mc:Choice>
  </mc:AlternateContent>
  <bookViews>
    <workbookView xWindow="0" yWindow="0" windowWidth="20490" windowHeight="8340" activeTab="1"/>
  </bookViews>
  <sheets>
    <sheet name="2_Discounting_exp_2025-11-05_23" sheetId="1" r:id="rId1"/>
    <sheet name="Sheet1" sheetId="2" r:id="rId2"/>
  </sheets>
  <calcPr calcId="162913"/>
</workbook>
</file>

<file path=xl/calcChain.xml><?xml version="1.0" encoding="utf-8"?>
<calcChain xmlns="http://schemas.openxmlformats.org/spreadsheetml/2006/main">
  <c r="G3" i="2" l="1"/>
  <c r="F96" i="2"/>
  <c r="F91" i="2"/>
  <c r="F83" i="2"/>
  <c r="F80" i="2"/>
  <c r="F71" i="2"/>
  <c r="F67" i="2"/>
  <c r="F64" i="2"/>
  <c r="F56" i="2"/>
  <c r="F52" i="2"/>
  <c r="F39" i="2"/>
  <c r="F36" i="2"/>
  <c r="F33" i="2"/>
  <c r="F30" i="2"/>
  <c r="F27" i="2"/>
  <c r="F20" i="2"/>
  <c r="F12" i="2"/>
  <c r="F6" i="2"/>
  <c r="F4" i="2"/>
  <c r="E2" i="2" l="1"/>
  <c r="E58" i="2"/>
  <c r="E16" i="2"/>
  <c r="E72" i="2"/>
  <c r="E44" i="2"/>
  <c r="E86" i="2"/>
  <c r="E30" i="2"/>
  <c r="E59" i="2"/>
  <c r="E87" i="2"/>
  <c r="E3" i="2"/>
  <c r="E45" i="2"/>
  <c r="E31" i="2"/>
  <c r="E17" i="2"/>
  <c r="E73" i="2"/>
  <c r="E18" i="2"/>
  <c r="E60" i="2"/>
  <c r="E46" i="2"/>
  <c r="E4" i="2"/>
  <c r="E32" i="2"/>
  <c r="E88" i="2"/>
  <c r="E74" i="2"/>
  <c r="E33" i="2"/>
  <c r="E61" i="2"/>
  <c r="E89" i="2"/>
  <c r="E47" i="2"/>
  <c r="E19" i="2"/>
  <c r="E5" i="2"/>
  <c r="E75" i="2"/>
  <c r="E62" i="2"/>
  <c r="E90" i="2"/>
  <c r="E76" i="2"/>
  <c r="E20" i="2"/>
  <c r="E6" i="2"/>
  <c r="E34" i="2"/>
  <c r="E48" i="2"/>
  <c r="E77" i="2"/>
  <c r="E7" i="2"/>
  <c r="E91" i="2"/>
  <c r="E49" i="2"/>
  <c r="E35" i="2"/>
  <c r="E63" i="2"/>
  <c r="E21" i="2"/>
  <c r="E50" i="2"/>
  <c r="E8" i="2"/>
  <c r="E78" i="2"/>
  <c r="E36" i="2"/>
  <c r="E92" i="2"/>
  <c r="E22" i="2"/>
  <c r="E64" i="2"/>
  <c r="E65" i="2"/>
  <c r="E79" i="2"/>
  <c r="E93" i="2"/>
  <c r="E51" i="2"/>
  <c r="E23" i="2"/>
  <c r="E37" i="2"/>
  <c r="E9" i="2"/>
  <c r="E38" i="2"/>
  <c r="E94" i="2"/>
  <c r="E80" i="2"/>
  <c r="E66" i="2"/>
  <c r="E24" i="2"/>
  <c r="E10" i="2"/>
  <c r="E52" i="2"/>
  <c r="E53" i="2"/>
  <c r="E67" i="2"/>
  <c r="E39" i="2"/>
  <c r="E11" i="2"/>
  <c r="E81" i="2"/>
  <c r="E95" i="2"/>
  <c r="E25" i="2"/>
  <c r="E12" i="2"/>
  <c r="E68" i="2"/>
  <c r="E82" i="2"/>
  <c r="E96" i="2"/>
  <c r="E26" i="2"/>
  <c r="E40" i="2"/>
  <c r="E54" i="2"/>
  <c r="E69" i="2"/>
  <c r="E41" i="2"/>
  <c r="E13" i="2"/>
  <c r="E83" i="2"/>
  <c r="E27" i="2"/>
  <c r="E55" i="2"/>
  <c r="E97" i="2"/>
  <c r="E14" i="2"/>
  <c r="E70" i="2"/>
  <c r="E42" i="2"/>
  <c r="E56" i="2"/>
  <c r="E28" i="2"/>
  <c r="E98" i="2"/>
  <c r="E84" i="2"/>
  <c r="E99" i="2"/>
  <c r="E85" i="2"/>
  <c r="E29" i="2"/>
  <c r="E57" i="2"/>
  <c r="E71" i="2"/>
  <c r="E43" i="2"/>
  <c r="E15" i="2"/>
</calcChain>
</file>

<file path=xl/sharedStrings.xml><?xml version="1.0" encoding="utf-8"?>
<sst xmlns="http://schemas.openxmlformats.org/spreadsheetml/2006/main" count="1019" uniqueCount="43">
  <si>
    <t>reward_today</t>
  </si>
  <si>
    <t>future_reward</t>
  </si>
  <si>
    <t>delay</t>
  </si>
  <si>
    <t>thisN</t>
  </si>
  <si>
    <t>thisTrialN</t>
  </si>
  <si>
    <t>thisRepN</t>
  </si>
  <si>
    <t>key_resp.keys</t>
  </si>
  <si>
    <t>key_resp.rt</t>
  </si>
  <si>
    <t>key_resp.duration</t>
  </si>
  <si>
    <t>trials.thisRepN</t>
  </si>
  <si>
    <t>trials.thisTrialN</t>
  </si>
  <si>
    <t>trials.thisN</t>
  </si>
  <si>
    <t>trials.thisIndex</t>
  </si>
  <si>
    <t>thisRow.t</t>
  </si>
  <si>
    <t>notes</t>
  </si>
  <si>
    <t>trial.started</t>
  </si>
  <si>
    <t>fixation.started</t>
  </si>
  <si>
    <t>text.started</t>
  </si>
  <si>
    <t>key_resp.started</t>
  </si>
  <si>
    <t>fixation.stopped</t>
  </si>
  <si>
    <t>trial.stopped</t>
  </si>
  <si>
    <t>trials.key_resp.keys</t>
  </si>
  <si>
    <t>trials.key_resp.rt</t>
  </si>
  <si>
    <t>trials.key_resp.duration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</si>
  <si>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</si>
  <si>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</si>
  <si>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</si>
  <si>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</si>
  <si>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</si>
  <si>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</si>
  <si>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</si>
  <si>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</si>
  <si>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t</t>
  </si>
  <si>
    <t>None</t>
  </si>
  <si>
    <t>Partcipant 3</t>
  </si>
  <si>
    <t>2025-11-05_23h33.34.284</t>
  </si>
  <si>
    <t>Discounting_exp</t>
  </si>
  <si>
    <t>2025.1.1</t>
  </si>
  <si>
    <t>2025-11-05 23h33.49.836483 +0530</t>
  </si>
  <si>
    <t>l</t>
  </si>
  <si>
    <t>K</t>
  </si>
  <si>
    <t>Geomean</t>
  </si>
  <si>
    <t>Average of geomean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</si>
</sst>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99"/>
  <sheetViews>
    <sheetView workbookViewId="0">
      <selection activeCell="G1" sqref="G1:G1048576"/>
    </sheetView>
  </sheetViews>
  <sheetFormatPr defaultRowHeight="15" x14ac:dyDescent="0.25"/>
  <sheetData>
    <row r="1" spans="1:3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x14ac:dyDescent="0.25">
      <c r="A2">
        <v>27</v>
      </c>
      <c r="B2">
        <v>50</v>
      </c>
      <c r="C2">
        <v>21</v>
      </c>
      <c r="D2">
        <v>0</v>
      </c>
      <c r="E2">
        <v>0</v>
      </c>
      <c r="F2">
        <v>0</v>
      </c>
      <c r="G2" t="s">
        <v>32</v>
      </c>
      <c r="H2">
        <v>1.75061539997113</v>
      </c>
      <c r="I2" t="s">
        <v>33</v>
      </c>
      <c r="J2">
        <v>0</v>
      </c>
      <c r="K2">
        <v>0</v>
      </c>
      <c r="L2">
        <v>0</v>
      </c>
      <c r="M2">
        <v>2</v>
      </c>
      <c r="N2">
        <v>0.129289800010155</v>
      </c>
      <c r="P2">
        <v>0.12426360003883</v>
      </c>
      <c r="Q2">
        <v>0.129289800010155</v>
      </c>
      <c r="R2">
        <v>1.0008172999950999</v>
      </c>
      <c r="S2">
        <v>1.0008172999950999</v>
      </c>
      <c r="T2">
        <v>1.1346561000100299</v>
      </c>
      <c r="U2">
        <v>2.7622652000281902</v>
      </c>
      <c r="V2" t="s">
        <v>32</v>
      </c>
      <c r="W2">
        <v>1.75061539997113</v>
      </c>
      <c r="X2" t="s">
        <v>33</v>
      </c>
      <c r="Y2" t="s">
        <v>34</v>
      </c>
      <c r="Z2">
        <v>1</v>
      </c>
      <c r="AA2" t="s">
        <v>35</v>
      </c>
      <c r="AB2" t="s">
        <v>36</v>
      </c>
      <c r="AD2" t="s">
        <v>37</v>
      </c>
      <c r="AE2">
        <v>59.9962442344506</v>
      </c>
      <c r="AF2" t="s">
        <v>38</v>
      </c>
    </row>
    <row r="3" spans="1:32" x14ac:dyDescent="0.25">
      <c r="A3">
        <v>78</v>
      </c>
      <c r="B3">
        <v>80</v>
      </c>
      <c r="C3">
        <v>162</v>
      </c>
      <c r="D3">
        <v>1</v>
      </c>
      <c r="E3">
        <v>1</v>
      </c>
      <c r="F3">
        <v>0</v>
      </c>
      <c r="G3" t="s">
        <v>39</v>
      </c>
      <c r="H3">
        <v>1.3224350999807899</v>
      </c>
      <c r="I3" t="s">
        <v>33</v>
      </c>
      <c r="J3">
        <v>0</v>
      </c>
      <c r="K3">
        <v>1</v>
      </c>
      <c r="L3">
        <v>1</v>
      </c>
      <c r="M3">
        <v>6</v>
      </c>
      <c r="N3">
        <v>2.7825657000066699</v>
      </c>
      <c r="P3">
        <v>2.7790147000341601</v>
      </c>
      <c r="Q3">
        <v>2.7825657000066699</v>
      </c>
      <c r="R3">
        <v>3.7691248000483002</v>
      </c>
      <c r="S3">
        <v>3.7691248000483002</v>
      </c>
      <c r="T3">
        <v>3.7851605000323598</v>
      </c>
      <c r="U3">
        <v>5.1019642000319401</v>
      </c>
      <c r="V3" t="s">
        <v>39</v>
      </c>
      <c r="W3">
        <v>1.3224350999807899</v>
      </c>
      <c r="X3" t="s">
        <v>33</v>
      </c>
      <c r="Y3" t="s">
        <v>34</v>
      </c>
      <c r="Z3">
        <v>1</v>
      </c>
      <c r="AA3" t="s">
        <v>35</v>
      </c>
      <c r="AB3" t="s">
        <v>36</v>
      </c>
      <c r="AD3" t="s">
        <v>37</v>
      </c>
      <c r="AE3">
        <v>59.9962442344506</v>
      </c>
      <c r="AF3" t="s">
        <v>38</v>
      </c>
    </row>
    <row r="4" spans="1:32" x14ac:dyDescent="0.25">
      <c r="A4">
        <v>67</v>
      </c>
      <c r="B4">
        <v>75</v>
      </c>
      <c r="C4">
        <v>119</v>
      </c>
      <c r="D4">
        <v>2</v>
      </c>
      <c r="E4">
        <v>2</v>
      </c>
      <c r="F4">
        <v>0</v>
      </c>
      <c r="G4" t="s">
        <v>39</v>
      </c>
      <c r="H4">
        <v>1.4139056999702</v>
      </c>
      <c r="I4" t="s">
        <v>33</v>
      </c>
      <c r="J4">
        <v>0</v>
      </c>
      <c r="K4">
        <v>2</v>
      </c>
      <c r="L4">
        <v>2</v>
      </c>
      <c r="M4">
        <v>5</v>
      </c>
      <c r="N4">
        <v>5.1340893000015004</v>
      </c>
      <c r="P4">
        <v>5.1143511999980502</v>
      </c>
      <c r="Q4">
        <v>5.1340893000015004</v>
      </c>
      <c r="R4">
        <v>6.1009800000465404</v>
      </c>
      <c r="S4">
        <v>6.1009800000465404</v>
      </c>
      <c r="T4">
        <v>6.1350445999996701</v>
      </c>
      <c r="U4">
        <v>7.51875230000587</v>
      </c>
      <c r="V4" t="s">
        <v>39</v>
      </c>
      <c r="W4">
        <v>1.4139056999702</v>
      </c>
      <c r="X4" t="s">
        <v>33</v>
      </c>
      <c r="Y4" t="s">
        <v>34</v>
      </c>
      <c r="Z4">
        <v>1</v>
      </c>
      <c r="AA4" t="s">
        <v>35</v>
      </c>
      <c r="AB4" t="s">
        <v>36</v>
      </c>
      <c r="AD4" t="s">
        <v>37</v>
      </c>
      <c r="AE4">
        <v>59.9962442344506</v>
      </c>
      <c r="AF4" t="s">
        <v>38</v>
      </c>
    </row>
    <row r="5" spans="1:32" x14ac:dyDescent="0.25">
      <c r="A5">
        <v>15</v>
      </c>
      <c r="B5">
        <v>35</v>
      </c>
      <c r="C5">
        <v>13</v>
      </c>
      <c r="D5">
        <v>3</v>
      </c>
      <c r="E5">
        <v>3</v>
      </c>
      <c r="F5">
        <v>0</v>
      </c>
      <c r="G5" t="s">
        <v>32</v>
      </c>
      <c r="H5">
        <v>0.96633520000614204</v>
      </c>
      <c r="I5" t="s">
        <v>33</v>
      </c>
      <c r="J5">
        <v>0</v>
      </c>
      <c r="K5">
        <v>3</v>
      </c>
      <c r="L5">
        <v>3</v>
      </c>
      <c r="M5">
        <v>1</v>
      </c>
      <c r="N5">
        <v>7.5341286000330001</v>
      </c>
      <c r="P5">
        <v>7.52546299999812</v>
      </c>
      <c r="Q5">
        <v>7.5341286000330001</v>
      </c>
      <c r="R5">
        <v>8.5182965000276401</v>
      </c>
      <c r="S5">
        <v>8.5182965000276401</v>
      </c>
      <c r="T5">
        <v>8.5341763000469602</v>
      </c>
      <c r="U5">
        <v>9.4913648000219801</v>
      </c>
      <c r="V5" t="s">
        <v>32</v>
      </c>
      <c r="W5">
        <v>0.96633520000614204</v>
      </c>
      <c r="X5" t="s">
        <v>33</v>
      </c>
      <c r="Y5" t="s">
        <v>34</v>
      </c>
      <c r="Z5">
        <v>1</v>
      </c>
      <c r="AA5" t="s">
        <v>35</v>
      </c>
      <c r="AB5" t="s">
        <v>36</v>
      </c>
      <c r="AD5" t="s">
        <v>37</v>
      </c>
      <c r="AE5">
        <v>59.9962442344506</v>
      </c>
      <c r="AF5" t="s">
        <v>38</v>
      </c>
    </row>
    <row r="6" spans="1:32" x14ac:dyDescent="0.25">
      <c r="A6">
        <v>40</v>
      </c>
      <c r="B6">
        <v>55</v>
      </c>
      <c r="C6">
        <v>62</v>
      </c>
      <c r="D6">
        <v>4</v>
      </c>
      <c r="E6">
        <v>4</v>
      </c>
      <c r="F6">
        <v>0</v>
      </c>
      <c r="G6" t="s">
        <v>32</v>
      </c>
      <c r="H6">
        <v>0.85905299999285401</v>
      </c>
      <c r="I6" t="s">
        <v>33</v>
      </c>
      <c r="J6">
        <v>0</v>
      </c>
      <c r="K6">
        <v>4</v>
      </c>
      <c r="L6">
        <v>4</v>
      </c>
      <c r="M6">
        <v>3</v>
      </c>
      <c r="N6">
        <v>9.5226850000326504</v>
      </c>
      <c r="P6">
        <v>9.5157078000483999</v>
      </c>
      <c r="Q6">
        <v>9.5226850000326504</v>
      </c>
      <c r="R6">
        <v>10.5010173000046</v>
      </c>
      <c r="S6">
        <v>10.5010173000046</v>
      </c>
      <c r="T6">
        <v>10.534523000009299</v>
      </c>
      <c r="U6">
        <v>11.369572900002799</v>
      </c>
      <c r="V6" t="s">
        <v>32</v>
      </c>
      <c r="W6">
        <v>0.85905299999285401</v>
      </c>
      <c r="X6" t="s">
        <v>33</v>
      </c>
      <c r="Y6" t="s">
        <v>34</v>
      </c>
      <c r="Z6">
        <v>1</v>
      </c>
      <c r="AA6" t="s">
        <v>35</v>
      </c>
      <c r="AB6" t="s">
        <v>36</v>
      </c>
      <c r="AD6" t="s">
        <v>37</v>
      </c>
      <c r="AE6">
        <v>59.9962442344506</v>
      </c>
      <c r="AF6" t="s">
        <v>38</v>
      </c>
    </row>
    <row r="7" spans="1:32" x14ac:dyDescent="0.25">
      <c r="A7">
        <v>11</v>
      </c>
      <c r="B7">
        <v>30</v>
      </c>
      <c r="C7">
        <v>7</v>
      </c>
      <c r="D7">
        <v>5</v>
      </c>
      <c r="E7">
        <v>5</v>
      </c>
      <c r="F7">
        <v>0</v>
      </c>
      <c r="G7" t="s">
        <v>32</v>
      </c>
      <c r="H7">
        <v>0.72603170003276296</v>
      </c>
      <c r="I7" t="s">
        <v>33</v>
      </c>
      <c r="J7">
        <v>0</v>
      </c>
      <c r="K7">
        <v>5</v>
      </c>
      <c r="L7">
        <v>5</v>
      </c>
      <c r="M7">
        <v>0</v>
      </c>
      <c r="N7">
        <v>11.385939300002001</v>
      </c>
      <c r="P7">
        <v>11.3777042000438</v>
      </c>
      <c r="Q7">
        <v>11.385939300002001</v>
      </c>
      <c r="R7">
        <v>12.3705879000481</v>
      </c>
      <c r="S7">
        <v>12.3705879000481</v>
      </c>
      <c r="T7">
        <v>12.3869656000169</v>
      </c>
      <c r="U7">
        <v>13.1020789000322</v>
      </c>
      <c r="V7" t="s">
        <v>32</v>
      </c>
      <c r="W7">
        <v>0.72603170003276296</v>
      </c>
      <c r="X7" t="s">
        <v>33</v>
      </c>
      <c r="Y7" t="s">
        <v>34</v>
      </c>
      <c r="Z7">
        <v>1</v>
      </c>
      <c r="AA7" t="s">
        <v>35</v>
      </c>
      <c r="AB7" t="s">
        <v>36</v>
      </c>
      <c r="AD7" t="s">
        <v>37</v>
      </c>
      <c r="AE7">
        <v>59.9962442344506</v>
      </c>
      <c r="AF7" t="s">
        <v>38</v>
      </c>
    </row>
    <row r="8" spans="1:32" x14ac:dyDescent="0.25">
      <c r="A8">
        <v>49</v>
      </c>
      <c r="B8">
        <v>60</v>
      </c>
      <c r="C8">
        <v>89</v>
      </c>
      <c r="D8">
        <v>6</v>
      </c>
      <c r="E8">
        <v>6</v>
      </c>
      <c r="F8">
        <v>0</v>
      </c>
      <c r="G8" t="s">
        <v>39</v>
      </c>
      <c r="H8">
        <v>0.70022660004906301</v>
      </c>
      <c r="I8" t="s">
        <v>33</v>
      </c>
      <c r="J8">
        <v>0</v>
      </c>
      <c r="K8">
        <v>6</v>
      </c>
      <c r="L8">
        <v>6</v>
      </c>
      <c r="M8">
        <v>4</v>
      </c>
      <c r="N8">
        <v>13.1186287000309</v>
      </c>
      <c r="P8">
        <v>13.1101068000425</v>
      </c>
      <c r="Q8">
        <v>13.1186287000309</v>
      </c>
      <c r="R8">
        <v>14.1018486000248</v>
      </c>
      <c r="S8">
        <v>14.1018486000248</v>
      </c>
      <c r="T8">
        <v>14.1184631000505</v>
      </c>
      <c r="U8">
        <v>14.8081712000421</v>
      </c>
      <c r="V8" t="s">
        <v>39</v>
      </c>
      <c r="W8">
        <v>0.70022660004906301</v>
      </c>
      <c r="X8" t="s">
        <v>33</v>
      </c>
      <c r="Y8" t="s">
        <v>34</v>
      </c>
      <c r="Z8">
        <v>1</v>
      </c>
      <c r="AA8" t="s">
        <v>35</v>
      </c>
      <c r="AB8" t="s">
        <v>36</v>
      </c>
      <c r="AD8" t="s">
        <v>37</v>
      </c>
      <c r="AE8">
        <v>59.9962442344506</v>
      </c>
      <c r="AF8" t="s">
        <v>38</v>
      </c>
    </row>
    <row r="9" spans="1:32" x14ac:dyDescent="0.25">
      <c r="A9">
        <v>27</v>
      </c>
      <c r="B9">
        <v>50</v>
      </c>
      <c r="C9">
        <v>21</v>
      </c>
      <c r="D9">
        <v>7</v>
      </c>
      <c r="E9">
        <v>0</v>
      </c>
      <c r="F9">
        <v>1</v>
      </c>
      <c r="G9" t="s">
        <v>32</v>
      </c>
      <c r="H9">
        <v>0.84237309999298304</v>
      </c>
      <c r="I9" t="s">
        <v>33</v>
      </c>
      <c r="J9">
        <v>1</v>
      </c>
      <c r="K9">
        <v>0</v>
      </c>
      <c r="L9">
        <v>7</v>
      </c>
      <c r="M9">
        <v>2</v>
      </c>
      <c r="N9">
        <v>14.8255359000177</v>
      </c>
      <c r="P9">
        <v>14.8206376000307</v>
      </c>
      <c r="Q9">
        <v>14.8255359000177</v>
      </c>
      <c r="R9">
        <v>15.818736300047</v>
      </c>
      <c r="S9">
        <v>15.818736300047</v>
      </c>
      <c r="T9">
        <v>15.8354242000496</v>
      </c>
      <c r="U9">
        <v>16.673468900029501</v>
      </c>
      <c r="V9" t="s">
        <v>32</v>
      </c>
      <c r="W9">
        <v>0.84237309999298304</v>
      </c>
      <c r="X9" t="s">
        <v>33</v>
      </c>
      <c r="Y9" t="s">
        <v>34</v>
      </c>
      <c r="Z9">
        <v>1</v>
      </c>
      <c r="AA9" t="s">
        <v>35</v>
      </c>
      <c r="AB9" t="s">
        <v>36</v>
      </c>
      <c r="AD9" t="s">
        <v>37</v>
      </c>
      <c r="AE9">
        <v>59.9962442344506</v>
      </c>
      <c r="AF9" t="s">
        <v>38</v>
      </c>
    </row>
    <row r="10" spans="1:32" x14ac:dyDescent="0.25">
      <c r="A10">
        <v>11</v>
      </c>
      <c r="B10">
        <v>30</v>
      </c>
      <c r="C10">
        <v>7</v>
      </c>
      <c r="D10">
        <v>8</v>
      </c>
      <c r="E10">
        <v>1</v>
      </c>
      <c r="F10">
        <v>1</v>
      </c>
      <c r="G10" t="s">
        <v>32</v>
      </c>
      <c r="H10">
        <v>0.88898049999261197</v>
      </c>
      <c r="I10" t="s">
        <v>33</v>
      </c>
      <c r="J10">
        <v>1</v>
      </c>
      <c r="K10">
        <v>1</v>
      </c>
      <c r="L10">
        <v>8</v>
      </c>
      <c r="M10">
        <v>0</v>
      </c>
      <c r="N10">
        <v>16.699765500030399</v>
      </c>
      <c r="P10">
        <v>16.6931322000455</v>
      </c>
      <c r="Q10">
        <v>16.699765500030399</v>
      </c>
      <c r="R10">
        <v>17.6867477000341</v>
      </c>
      <c r="S10">
        <v>17.6867477000341</v>
      </c>
      <c r="T10">
        <v>17.702777900034501</v>
      </c>
      <c r="U10">
        <v>18.590910000028</v>
      </c>
      <c r="V10" t="s">
        <v>32</v>
      </c>
      <c r="W10">
        <v>0.88898049999261197</v>
      </c>
      <c r="X10" t="s">
        <v>33</v>
      </c>
      <c r="Y10" t="s">
        <v>34</v>
      </c>
      <c r="Z10">
        <v>1</v>
      </c>
      <c r="AA10" t="s">
        <v>35</v>
      </c>
      <c r="AB10" t="s">
        <v>36</v>
      </c>
      <c r="AD10" t="s">
        <v>37</v>
      </c>
      <c r="AE10">
        <v>59.9962442344506</v>
      </c>
      <c r="AF10" t="s">
        <v>38</v>
      </c>
    </row>
    <row r="11" spans="1:32" x14ac:dyDescent="0.25">
      <c r="A11">
        <v>78</v>
      </c>
      <c r="B11">
        <v>80</v>
      </c>
      <c r="C11">
        <v>162</v>
      </c>
      <c r="D11">
        <v>9</v>
      </c>
      <c r="E11">
        <v>2</v>
      </c>
      <c r="F11">
        <v>1</v>
      </c>
      <c r="G11" t="s">
        <v>39</v>
      </c>
      <c r="H11">
        <v>0.88983940001344297</v>
      </c>
      <c r="I11" t="s">
        <v>33</v>
      </c>
      <c r="J11">
        <v>1</v>
      </c>
      <c r="K11">
        <v>2</v>
      </c>
      <c r="L11">
        <v>9</v>
      </c>
      <c r="M11">
        <v>6</v>
      </c>
      <c r="N11">
        <v>18.620305799995499</v>
      </c>
      <c r="P11">
        <v>18.613034000038098</v>
      </c>
      <c r="Q11">
        <v>18.620305799995499</v>
      </c>
      <c r="R11">
        <v>19.6028487000148</v>
      </c>
      <c r="S11">
        <v>19.6028487000148</v>
      </c>
      <c r="T11">
        <v>19.619383800018099</v>
      </c>
      <c r="U11">
        <v>20.506684800027799</v>
      </c>
      <c r="V11" t="s">
        <v>39</v>
      </c>
      <c r="W11">
        <v>0.88983940001344297</v>
      </c>
      <c r="X11" t="s">
        <v>33</v>
      </c>
      <c r="Y11" t="s">
        <v>34</v>
      </c>
      <c r="Z11">
        <v>1</v>
      </c>
      <c r="AA11" t="s">
        <v>35</v>
      </c>
      <c r="AB11" t="s">
        <v>36</v>
      </c>
      <c r="AD11" t="s">
        <v>37</v>
      </c>
      <c r="AE11">
        <v>59.9962442344506</v>
      </c>
      <c r="AF11" t="s">
        <v>38</v>
      </c>
    </row>
    <row r="12" spans="1:32" x14ac:dyDescent="0.25">
      <c r="A12">
        <v>40</v>
      </c>
      <c r="B12">
        <v>55</v>
      </c>
      <c r="C12">
        <v>62</v>
      </c>
      <c r="D12">
        <v>10</v>
      </c>
      <c r="E12">
        <v>3</v>
      </c>
      <c r="F12">
        <v>1</v>
      </c>
      <c r="G12" t="s">
        <v>32</v>
      </c>
      <c r="H12">
        <v>1.45766750001348</v>
      </c>
      <c r="I12" t="s">
        <v>33</v>
      </c>
      <c r="J12">
        <v>1</v>
      </c>
      <c r="K12">
        <v>3</v>
      </c>
      <c r="L12">
        <v>10</v>
      </c>
      <c r="M12">
        <v>3</v>
      </c>
      <c r="N12">
        <v>20.5319247000152</v>
      </c>
      <c r="P12">
        <v>20.526466800016301</v>
      </c>
      <c r="Q12">
        <v>20.5319247000152</v>
      </c>
      <c r="R12">
        <v>21.505744100024401</v>
      </c>
      <c r="S12">
        <v>21.505744100024401</v>
      </c>
      <c r="T12">
        <v>21.5386304000276</v>
      </c>
      <c r="U12">
        <v>22.973116200009802</v>
      </c>
      <c r="V12" t="s">
        <v>32</v>
      </c>
      <c r="W12">
        <v>1.45766750001348</v>
      </c>
      <c r="X12" t="s">
        <v>33</v>
      </c>
      <c r="Y12" t="s">
        <v>34</v>
      </c>
      <c r="Z12">
        <v>1</v>
      </c>
      <c r="AA12" t="s">
        <v>35</v>
      </c>
      <c r="AB12" t="s">
        <v>36</v>
      </c>
      <c r="AD12" t="s">
        <v>37</v>
      </c>
      <c r="AE12">
        <v>59.9962442344506</v>
      </c>
      <c r="AF12" t="s">
        <v>38</v>
      </c>
    </row>
    <row r="13" spans="1:32" x14ac:dyDescent="0.25">
      <c r="A13">
        <v>49</v>
      </c>
      <c r="B13">
        <v>60</v>
      </c>
      <c r="C13">
        <v>89</v>
      </c>
      <c r="D13">
        <v>11</v>
      </c>
      <c r="E13">
        <v>4</v>
      </c>
      <c r="F13">
        <v>1</v>
      </c>
      <c r="G13" t="s">
        <v>32</v>
      </c>
      <c r="H13">
        <v>1.0590703999623601</v>
      </c>
      <c r="I13" t="s">
        <v>33</v>
      </c>
      <c r="J13">
        <v>1</v>
      </c>
      <c r="K13">
        <v>4</v>
      </c>
      <c r="L13">
        <v>11</v>
      </c>
      <c r="M13">
        <v>4</v>
      </c>
      <c r="N13">
        <v>22.992575000040201</v>
      </c>
      <c r="P13">
        <v>22.987784800003201</v>
      </c>
      <c r="Q13">
        <v>22.992575000040201</v>
      </c>
      <c r="R13">
        <v>23.975543000036801</v>
      </c>
      <c r="S13">
        <v>23.975543000036801</v>
      </c>
      <c r="T13">
        <v>23.9896085000364</v>
      </c>
      <c r="U13">
        <v>25.037413000012702</v>
      </c>
      <c r="V13" t="s">
        <v>32</v>
      </c>
      <c r="W13">
        <v>1.0590703999623601</v>
      </c>
      <c r="X13" t="s">
        <v>33</v>
      </c>
      <c r="Y13" t="s">
        <v>34</v>
      </c>
      <c r="Z13">
        <v>1</v>
      </c>
      <c r="AA13" t="s">
        <v>35</v>
      </c>
      <c r="AB13" t="s">
        <v>36</v>
      </c>
      <c r="AD13" t="s">
        <v>37</v>
      </c>
      <c r="AE13">
        <v>59.9962442344506</v>
      </c>
      <c r="AF13" t="s">
        <v>38</v>
      </c>
    </row>
    <row r="14" spans="1:32" x14ac:dyDescent="0.25">
      <c r="A14">
        <v>67</v>
      </c>
      <c r="B14">
        <v>75</v>
      </c>
      <c r="C14">
        <v>119</v>
      </c>
      <c r="D14">
        <v>12</v>
      </c>
      <c r="E14">
        <v>5</v>
      </c>
      <c r="F14">
        <v>1</v>
      </c>
      <c r="G14" t="s">
        <v>39</v>
      </c>
      <c r="H14">
        <v>0.74393359996611197</v>
      </c>
      <c r="I14" t="s">
        <v>33</v>
      </c>
      <c r="J14">
        <v>1</v>
      </c>
      <c r="K14">
        <v>5</v>
      </c>
      <c r="L14">
        <v>12</v>
      </c>
      <c r="M14">
        <v>5</v>
      </c>
      <c r="N14">
        <v>25.052736500045199</v>
      </c>
      <c r="P14">
        <v>25.045522100001101</v>
      </c>
      <c r="Q14">
        <v>25.052736500045199</v>
      </c>
      <c r="R14">
        <v>26.0555883000488</v>
      </c>
      <c r="S14">
        <v>26.0555883000488</v>
      </c>
      <c r="T14">
        <v>26.0555883000488</v>
      </c>
      <c r="U14">
        <v>26.8079000000143</v>
      </c>
      <c r="V14" t="s">
        <v>39</v>
      </c>
      <c r="W14">
        <v>0.74393359996611197</v>
      </c>
      <c r="X14" t="s">
        <v>33</v>
      </c>
      <c r="Y14" t="s">
        <v>34</v>
      </c>
      <c r="Z14">
        <v>1</v>
      </c>
      <c r="AA14" t="s">
        <v>35</v>
      </c>
      <c r="AB14" t="s">
        <v>36</v>
      </c>
      <c r="AD14" t="s">
        <v>37</v>
      </c>
      <c r="AE14">
        <v>59.9962442344506</v>
      </c>
      <c r="AF14" t="s">
        <v>38</v>
      </c>
    </row>
    <row r="15" spans="1:32" x14ac:dyDescent="0.25">
      <c r="A15">
        <v>15</v>
      </c>
      <c r="B15">
        <v>35</v>
      </c>
      <c r="C15">
        <v>13</v>
      </c>
      <c r="D15">
        <v>13</v>
      </c>
      <c r="E15">
        <v>6</v>
      </c>
      <c r="F15">
        <v>1</v>
      </c>
      <c r="G15" t="s">
        <v>32</v>
      </c>
      <c r="H15">
        <v>1.1805326999747101</v>
      </c>
      <c r="I15" t="s">
        <v>33</v>
      </c>
      <c r="J15">
        <v>1</v>
      </c>
      <c r="K15">
        <v>6</v>
      </c>
      <c r="L15">
        <v>13</v>
      </c>
      <c r="M15">
        <v>1</v>
      </c>
      <c r="N15">
        <v>26.834908400021899</v>
      </c>
      <c r="P15">
        <v>26.8281985000357</v>
      </c>
      <c r="Q15">
        <v>26.834908400021899</v>
      </c>
      <c r="R15">
        <v>27.822618600039199</v>
      </c>
      <c r="S15">
        <v>27.822618600039199</v>
      </c>
      <c r="T15">
        <v>27.8391980000305</v>
      </c>
      <c r="U15">
        <v>29.0198673999984</v>
      </c>
      <c r="V15" t="s">
        <v>32</v>
      </c>
      <c r="W15">
        <v>1.1805326999747101</v>
      </c>
      <c r="X15" t="s">
        <v>33</v>
      </c>
      <c r="Y15" t="s">
        <v>34</v>
      </c>
      <c r="Z15">
        <v>1</v>
      </c>
      <c r="AA15" t="s">
        <v>35</v>
      </c>
      <c r="AB15" t="s">
        <v>36</v>
      </c>
      <c r="AD15" t="s">
        <v>37</v>
      </c>
      <c r="AE15">
        <v>59.9962442344506</v>
      </c>
      <c r="AF15" t="s">
        <v>38</v>
      </c>
    </row>
    <row r="16" spans="1:32" x14ac:dyDescent="0.25">
      <c r="A16">
        <v>67</v>
      </c>
      <c r="B16">
        <v>75</v>
      </c>
      <c r="C16">
        <v>119</v>
      </c>
      <c r="D16">
        <v>14</v>
      </c>
      <c r="E16">
        <v>0</v>
      </c>
      <c r="F16">
        <v>2</v>
      </c>
      <c r="G16" t="s">
        <v>39</v>
      </c>
      <c r="H16">
        <v>0.693391400040127</v>
      </c>
      <c r="I16" t="s">
        <v>33</v>
      </c>
      <c r="J16">
        <v>2</v>
      </c>
      <c r="K16">
        <v>0</v>
      </c>
      <c r="L16">
        <v>14</v>
      </c>
      <c r="M16">
        <v>5</v>
      </c>
      <c r="N16">
        <v>29.036056100041598</v>
      </c>
      <c r="P16">
        <v>29.026626300008498</v>
      </c>
      <c r="Q16">
        <v>29.036056100041598</v>
      </c>
      <c r="R16">
        <v>30.035603900032498</v>
      </c>
      <c r="S16">
        <v>30.035603900032498</v>
      </c>
      <c r="T16">
        <v>30.035603900032498</v>
      </c>
      <c r="U16">
        <v>30.736489400034699</v>
      </c>
      <c r="V16" t="s">
        <v>39</v>
      </c>
      <c r="W16">
        <v>0.693391400040127</v>
      </c>
      <c r="X16" t="s">
        <v>33</v>
      </c>
      <c r="Y16" t="s">
        <v>34</v>
      </c>
      <c r="Z16">
        <v>1</v>
      </c>
      <c r="AA16" t="s">
        <v>35</v>
      </c>
      <c r="AB16" t="s">
        <v>36</v>
      </c>
      <c r="AD16" t="s">
        <v>37</v>
      </c>
      <c r="AE16">
        <v>59.9962442344506</v>
      </c>
      <c r="AF16" t="s">
        <v>38</v>
      </c>
    </row>
    <row r="17" spans="1:32" x14ac:dyDescent="0.25">
      <c r="A17">
        <v>27</v>
      </c>
      <c r="B17">
        <v>50</v>
      </c>
      <c r="C17">
        <v>21</v>
      </c>
      <c r="D17">
        <v>15</v>
      </c>
      <c r="E17">
        <v>1</v>
      </c>
      <c r="F17">
        <v>2</v>
      </c>
      <c r="G17" t="s">
        <v>32</v>
      </c>
      <c r="H17">
        <v>0.87892400001874105</v>
      </c>
      <c r="I17" t="s">
        <v>33</v>
      </c>
      <c r="J17">
        <v>2</v>
      </c>
      <c r="K17">
        <v>1</v>
      </c>
      <c r="L17">
        <v>15</v>
      </c>
      <c r="M17">
        <v>2</v>
      </c>
      <c r="N17">
        <v>30.7528187000425</v>
      </c>
      <c r="P17">
        <v>30.743886900017898</v>
      </c>
      <c r="Q17">
        <v>30.7528187000425</v>
      </c>
      <c r="R17">
        <v>31.7393946000374</v>
      </c>
      <c r="S17">
        <v>31.7393946000374</v>
      </c>
      <c r="T17">
        <v>31.755725700000699</v>
      </c>
      <c r="U17">
        <v>32.622131300042298</v>
      </c>
      <c r="V17" t="s">
        <v>32</v>
      </c>
      <c r="W17">
        <v>0.87892400001874105</v>
      </c>
      <c r="X17" t="s">
        <v>33</v>
      </c>
      <c r="Y17" t="s">
        <v>34</v>
      </c>
      <c r="Z17">
        <v>1</v>
      </c>
      <c r="AA17" t="s">
        <v>35</v>
      </c>
      <c r="AB17" t="s">
        <v>36</v>
      </c>
      <c r="AD17" t="s">
        <v>37</v>
      </c>
      <c r="AE17">
        <v>59.9962442344506</v>
      </c>
      <c r="AF17" t="s">
        <v>38</v>
      </c>
    </row>
    <row r="18" spans="1:32" x14ac:dyDescent="0.25">
      <c r="A18">
        <v>40</v>
      </c>
      <c r="B18">
        <v>55</v>
      </c>
      <c r="C18">
        <v>62</v>
      </c>
      <c r="D18">
        <v>16</v>
      </c>
      <c r="E18">
        <v>2</v>
      </c>
      <c r="F18">
        <v>2</v>
      </c>
      <c r="G18" t="s">
        <v>32</v>
      </c>
      <c r="H18">
        <v>0.98270349996164397</v>
      </c>
      <c r="I18" t="s">
        <v>33</v>
      </c>
      <c r="J18">
        <v>2</v>
      </c>
      <c r="K18">
        <v>2</v>
      </c>
      <c r="L18">
        <v>16</v>
      </c>
      <c r="M18">
        <v>3</v>
      </c>
      <c r="N18">
        <v>32.641042000032002</v>
      </c>
      <c r="P18">
        <v>32.636083200050003</v>
      </c>
      <c r="Q18">
        <v>32.641042000032002</v>
      </c>
      <c r="R18">
        <v>33.622514500049803</v>
      </c>
      <c r="S18">
        <v>33.622514500049803</v>
      </c>
      <c r="T18">
        <v>33.659286800015202</v>
      </c>
      <c r="U18">
        <v>34.620451199996701</v>
      </c>
      <c r="V18" t="s">
        <v>32</v>
      </c>
      <c r="W18">
        <v>0.98270349996164397</v>
      </c>
      <c r="X18" t="s">
        <v>33</v>
      </c>
      <c r="Y18" t="s">
        <v>34</v>
      </c>
      <c r="Z18">
        <v>1</v>
      </c>
      <c r="AA18" t="s">
        <v>35</v>
      </c>
      <c r="AB18" t="s">
        <v>36</v>
      </c>
      <c r="AD18" t="s">
        <v>37</v>
      </c>
      <c r="AE18">
        <v>59.9962442344506</v>
      </c>
      <c r="AF18" t="s">
        <v>38</v>
      </c>
    </row>
    <row r="19" spans="1:32" x14ac:dyDescent="0.25">
      <c r="A19">
        <v>78</v>
      </c>
      <c r="B19">
        <v>80</v>
      </c>
      <c r="C19">
        <v>162</v>
      </c>
      <c r="D19">
        <v>17</v>
      </c>
      <c r="E19">
        <v>3</v>
      </c>
      <c r="F19">
        <v>2</v>
      </c>
      <c r="G19" t="s">
        <v>39</v>
      </c>
      <c r="H19">
        <v>0.97986409999430102</v>
      </c>
      <c r="I19" t="s">
        <v>33</v>
      </c>
      <c r="J19">
        <v>2</v>
      </c>
      <c r="K19">
        <v>3</v>
      </c>
      <c r="L19">
        <v>17</v>
      </c>
      <c r="M19">
        <v>6</v>
      </c>
      <c r="N19">
        <v>34.636432700033701</v>
      </c>
      <c r="P19">
        <v>34.6292061000131</v>
      </c>
      <c r="Q19">
        <v>34.636432700033701</v>
      </c>
      <c r="R19">
        <v>35.619731300044798</v>
      </c>
      <c r="S19">
        <v>35.619731300044798</v>
      </c>
      <c r="T19">
        <v>35.636393200024003</v>
      </c>
      <c r="U19">
        <v>36.604162600007797</v>
      </c>
      <c r="V19" t="s">
        <v>39</v>
      </c>
      <c r="W19">
        <v>0.97986409999430102</v>
      </c>
      <c r="X19" t="s">
        <v>33</v>
      </c>
      <c r="Y19" t="s">
        <v>34</v>
      </c>
      <c r="Z19">
        <v>1</v>
      </c>
      <c r="AA19" t="s">
        <v>35</v>
      </c>
      <c r="AB19" t="s">
        <v>36</v>
      </c>
      <c r="AD19" t="s">
        <v>37</v>
      </c>
      <c r="AE19">
        <v>59.9962442344506</v>
      </c>
      <c r="AF19" t="s">
        <v>38</v>
      </c>
    </row>
    <row r="20" spans="1:32" x14ac:dyDescent="0.25">
      <c r="A20">
        <v>49</v>
      </c>
      <c r="B20">
        <v>60</v>
      </c>
      <c r="C20">
        <v>89</v>
      </c>
      <c r="D20">
        <v>18</v>
      </c>
      <c r="E20">
        <v>4</v>
      </c>
      <c r="F20">
        <v>2</v>
      </c>
      <c r="G20" t="s">
        <v>32</v>
      </c>
      <c r="H20">
        <v>1.13020180002786</v>
      </c>
      <c r="I20" t="s">
        <v>33</v>
      </c>
      <c r="J20">
        <v>2</v>
      </c>
      <c r="K20">
        <v>4</v>
      </c>
      <c r="L20">
        <v>18</v>
      </c>
      <c r="M20">
        <v>4</v>
      </c>
      <c r="N20">
        <v>36.620102400018297</v>
      </c>
      <c r="P20">
        <v>36.613358900009104</v>
      </c>
      <c r="Q20">
        <v>36.620102400018297</v>
      </c>
      <c r="R20">
        <v>37.605073600017903</v>
      </c>
      <c r="S20">
        <v>37.605073600017903</v>
      </c>
      <c r="T20">
        <v>37.621762400027301</v>
      </c>
      <c r="U20">
        <v>38.737298100022599</v>
      </c>
      <c r="V20" t="s">
        <v>32</v>
      </c>
      <c r="W20">
        <v>1.13020180002786</v>
      </c>
      <c r="X20" t="s">
        <v>33</v>
      </c>
      <c r="Y20" t="s">
        <v>34</v>
      </c>
      <c r="Z20">
        <v>1</v>
      </c>
      <c r="AA20" t="s">
        <v>35</v>
      </c>
      <c r="AB20" t="s">
        <v>36</v>
      </c>
      <c r="AD20" t="s">
        <v>37</v>
      </c>
      <c r="AE20">
        <v>59.9962442344506</v>
      </c>
      <c r="AF20" t="s">
        <v>38</v>
      </c>
    </row>
    <row r="21" spans="1:32" x14ac:dyDescent="0.25">
      <c r="A21">
        <v>11</v>
      </c>
      <c r="B21">
        <v>30</v>
      </c>
      <c r="C21">
        <v>7</v>
      </c>
      <c r="D21">
        <v>19</v>
      </c>
      <c r="E21">
        <v>5</v>
      </c>
      <c r="F21">
        <v>2</v>
      </c>
      <c r="G21" t="s">
        <v>39</v>
      </c>
      <c r="H21">
        <v>0.93780379998497598</v>
      </c>
      <c r="I21" t="s">
        <v>33</v>
      </c>
      <c r="J21">
        <v>2</v>
      </c>
      <c r="K21">
        <v>5</v>
      </c>
      <c r="L21">
        <v>19</v>
      </c>
      <c r="M21">
        <v>0</v>
      </c>
      <c r="N21">
        <v>38.753900800016702</v>
      </c>
      <c r="P21">
        <v>38.747255699999997</v>
      </c>
      <c r="Q21">
        <v>38.753900800016702</v>
      </c>
      <c r="R21">
        <v>39.7530708000413</v>
      </c>
      <c r="S21">
        <v>39.7530708000413</v>
      </c>
      <c r="T21">
        <v>39.7530708000413</v>
      </c>
      <c r="U21">
        <v>40.704528600035701</v>
      </c>
      <c r="V21" t="s">
        <v>39</v>
      </c>
      <c r="W21">
        <v>0.93780379998497598</v>
      </c>
      <c r="X21" t="s">
        <v>33</v>
      </c>
      <c r="Y21" t="s">
        <v>34</v>
      </c>
      <c r="Z21">
        <v>1</v>
      </c>
      <c r="AA21" t="s">
        <v>35</v>
      </c>
      <c r="AB21" t="s">
        <v>36</v>
      </c>
      <c r="AD21" t="s">
        <v>37</v>
      </c>
      <c r="AE21">
        <v>59.9962442344506</v>
      </c>
      <c r="AF21" t="s">
        <v>38</v>
      </c>
    </row>
    <row r="22" spans="1:32" x14ac:dyDescent="0.25">
      <c r="A22">
        <v>15</v>
      </c>
      <c r="B22">
        <v>35</v>
      </c>
      <c r="C22">
        <v>13</v>
      </c>
      <c r="D22">
        <v>20</v>
      </c>
      <c r="E22">
        <v>6</v>
      </c>
      <c r="F22">
        <v>2</v>
      </c>
      <c r="G22" t="s">
        <v>39</v>
      </c>
      <c r="H22">
        <v>1.1107156999642001</v>
      </c>
      <c r="I22" t="s">
        <v>33</v>
      </c>
      <c r="J22">
        <v>2</v>
      </c>
      <c r="K22">
        <v>6</v>
      </c>
      <c r="L22">
        <v>20</v>
      </c>
      <c r="M22">
        <v>1</v>
      </c>
      <c r="N22">
        <v>40.721188299998097</v>
      </c>
      <c r="P22">
        <v>40.714862000022499</v>
      </c>
      <c r="Q22">
        <v>40.721188299998097</v>
      </c>
      <c r="R22">
        <v>41.719453400000901</v>
      </c>
      <c r="S22">
        <v>41.719453400000901</v>
      </c>
      <c r="T22">
        <v>41.735159300034802</v>
      </c>
      <c r="U22">
        <v>42.838899200025402</v>
      </c>
      <c r="V22" t="s">
        <v>39</v>
      </c>
      <c r="W22">
        <v>1.1107156999642001</v>
      </c>
      <c r="X22" t="s">
        <v>33</v>
      </c>
      <c r="Y22" t="s">
        <v>34</v>
      </c>
      <c r="Z22">
        <v>1</v>
      </c>
      <c r="AA22" t="s">
        <v>35</v>
      </c>
      <c r="AB22" t="s">
        <v>36</v>
      </c>
      <c r="AD22" t="s">
        <v>37</v>
      </c>
      <c r="AE22">
        <v>59.9962442344506</v>
      </c>
      <c r="AF22" t="s">
        <v>38</v>
      </c>
    </row>
    <row r="23" spans="1:32" x14ac:dyDescent="0.25">
      <c r="A23">
        <v>49</v>
      </c>
      <c r="B23">
        <v>60</v>
      </c>
      <c r="C23">
        <v>89</v>
      </c>
      <c r="D23">
        <v>21</v>
      </c>
      <c r="E23">
        <v>0</v>
      </c>
      <c r="F23">
        <v>3</v>
      </c>
      <c r="G23" t="s">
        <v>39</v>
      </c>
      <c r="H23">
        <v>0.95206460001645599</v>
      </c>
      <c r="I23" t="s">
        <v>33</v>
      </c>
      <c r="J23">
        <v>3</v>
      </c>
      <c r="K23">
        <v>0</v>
      </c>
      <c r="L23">
        <v>21</v>
      </c>
      <c r="M23">
        <v>4</v>
      </c>
      <c r="N23">
        <v>42.859040700015598</v>
      </c>
      <c r="P23">
        <v>42.8532382000121</v>
      </c>
      <c r="Q23">
        <v>42.859040700015598</v>
      </c>
      <c r="R23">
        <v>43.8530586000415</v>
      </c>
      <c r="S23">
        <v>43.8530586000415</v>
      </c>
      <c r="T23">
        <v>43.869276700017501</v>
      </c>
      <c r="U23">
        <v>44.823399900051299</v>
      </c>
      <c r="V23" t="s">
        <v>39</v>
      </c>
      <c r="W23">
        <v>0.95206460001645599</v>
      </c>
      <c r="X23" t="s">
        <v>33</v>
      </c>
      <c r="Y23" t="s">
        <v>34</v>
      </c>
      <c r="Z23">
        <v>1</v>
      </c>
      <c r="AA23" t="s">
        <v>35</v>
      </c>
      <c r="AB23" t="s">
        <v>36</v>
      </c>
      <c r="AD23" t="s">
        <v>37</v>
      </c>
      <c r="AE23">
        <v>59.9962442344506</v>
      </c>
      <c r="AF23" t="s">
        <v>38</v>
      </c>
    </row>
    <row r="24" spans="1:32" x14ac:dyDescent="0.25">
      <c r="A24">
        <v>27</v>
      </c>
      <c r="B24">
        <v>50</v>
      </c>
      <c r="C24">
        <v>21</v>
      </c>
      <c r="D24">
        <v>22</v>
      </c>
      <c r="E24">
        <v>1</v>
      </c>
      <c r="F24">
        <v>3</v>
      </c>
      <c r="G24" t="s">
        <v>32</v>
      </c>
      <c r="H24">
        <v>0.56989440001780101</v>
      </c>
      <c r="I24" t="s">
        <v>33</v>
      </c>
      <c r="J24">
        <v>3</v>
      </c>
      <c r="K24">
        <v>1</v>
      </c>
      <c r="L24">
        <v>22</v>
      </c>
      <c r="M24">
        <v>2</v>
      </c>
      <c r="N24">
        <v>44.843201700015896</v>
      </c>
      <c r="P24">
        <v>44.8391417000093</v>
      </c>
      <c r="Q24">
        <v>44.843201700015896</v>
      </c>
      <c r="R24">
        <v>45.837444300006602</v>
      </c>
      <c r="S24">
        <v>45.837444300006602</v>
      </c>
      <c r="T24">
        <v>45.8539718000101</v>
      </c>
      <c r="U24">
        <v>46.424692200031103</v>
      </c>
      <c r="V24" t="s">
        <v>32</v>
      </c>
      <c r="W24">
        <v>0.56989440001780101</v>
      </c>
      <c r="X24" t="s">
        <v>33</v>
      </c>
      <c r="Y24" t="s">
        <v>34</v>
      </c>
      <c r="Z24">
        <v>1</v>
      </c>
      <c r="AA24" t="s">
        <v>35</v>
      </c>
      <c r="AB24" t="s">
        <v>36</v>
      </c>
      <c r="AD24" t="s">
        <v>37</v>
      </c>
      <c r="AE24">
        <v>59.9962442344506</v>
      </c>
      <c r="AF24" t="s">
        <v>38</v>
      </c>
    </row>
    <row r="25" spans="1:32" x14ac:dyDescent="0.25">
      <c r="A25">
        <v>11</v>
      </c>
      <c r="B25">
        <v>30</v>
      </c>
      <c r="C25">
        <v>7</v>
      </c>
      <c r="D25">
        <v>23</v>
      </c>
      <c r="E25">
        <v>2</v>
      </c>
      <c r="F25">
        <v>3</v>
      </c>
      <c r="G25" t="s">
        <v>39</v>
      </c>
      <c r="H25">
        <v>0.49184370000148098</v>
      </c>
      <c r="I25" t="s">
        <v>33</v>
      </c>
      <c r="J25">
        <v>3</v>
      </c>
      <c r="K25">
        <v>2</v>
      </c>
      <c r="L25">
        <v>23</v>
      </c>
      <c r="M25">
        <v>0</v>
      </c>
      <c r="N25">
        <v>46.450610900006701</v>
      </c>
      <c r="P25">
        <v>46.444870400009599</v>
      </c>
      <c r="Q25">
        <v>46.450610900006701</v>
      </c>
      <c r="R25">
        <v>47.4376530000008</v>
      </c>
      <c r="S25">
        <v>47.4376530000008</v>
      </c>
      <c r="T25">
        <v>47.4541734000085</v>
      </c>
      <c r="U25">
        <v>47.938600699999299</v>
      </c>
      <c r="V25" t="s">
        <v>39</v>
      </c>
      <c r="W25">
        <v>0.49184370000148098</v>
      </c>
      <c r="X25" t="s">
        <v>33</v>
      </c>
      <c r="Y25" t="s">
        <v>34</v>
      </c>
      <c r="Z25">
        <v>1</v>
      </c>
      <c r="AA25" t="s">
        <v>35</v>
      </c>
      <c r="AB25" t="s">
        <v>36</v>
      </c>
      <c r="AD25" t="s">
        <v>37</v>
      </c>
      <c r="AE25">
        <v>59.9962442344506</v>
      </c>
      <c r="AF25" t="s">
        <v>38</v>
      </c>
    </row>
    <row r="26" spans="1:32" x14ac:dyDescent="0.25">
      <c r="A26">
        <v>40</v>
      </c>
      <c r="B26">
        <v>55</v>
      </c>
      <c r="C26">
        <v>62</v>
      </c>
      <c r="D26">
        <v>24</v>
      </c>
      <c r="E26">
        <v>3</v>
      </c>
      <c r="F26">
        <v>3</v>
      </c>
      <c r="G26" t="s">
        <v>32</v>
      </c>
      <c r="H26">
        <v>0.74879859999054998</v>
      </c>
      <c r="I26" t="s">
        <v>33</v>
      </c>
      <c r="J26">
        <v>3</v>
      </c>
      <c r="K26">
        <v>3</v>
      </c>
      <c r="L26">
        <v>24</v>
      </c>
      <c r="M26">
        <v>3</v>
      </c>
      <c r="N26">
        <v>47.954633100016501</v>
      </c>
      <c r="P26">
        <v>47.949343400017803</v>
      </c>
      <c r="Q26">
        <v>47.954633100016501</v>
      </c>
      <c r="R26">
        <v>48.954313800029901</v>
      </c>
      <c r="S26">
        <v>48.954313800029901</v>
      </c>
      <c r="T26">
        <v>48.954313800029901</v>
      </c>
      <c r="U26">
        <v>49.706004700041298</v>
      </c>
      <c r="V26" t="s">
        <v>32</v>
      </c>
      <c r="W26">
        <v>0.74879859999054998</v>
      </c>
      <c r="X26" t="s">
        <v>33</v>
      </c>
      <c r="Y26" t="s">
        <v>34</v>
      </c>
      <c r="Z26">
        <v>1</v>
      </c>
      <c r="AA26" t="s">
        <v>35</v>
      </c>
      <c r="AB26" t="s">
        <v>36</v>
      </c>
      <c r="AD26" t="s">
        <v>37</v>
      </c>
      <c r="AE26">
        <v>59.9962442344506</v>
      </c>
      <c r="AF26" t="s">
        <v>38</v>
      </c>
    </row>
    <row r="27" spans="1:32" x14ac:dyDescent="0.25">
      <c r="A27">
        <v>67</v>
      </c>
      <c r="B27">
        <v>75</v>
      </c>
      <c r="C27">
        <v>119</v>
      </c>
      <c r="D27">
        <v>25</v>
      </c>
      <c r="E27">
        <v>4</v>
      </c>
      <c r="F27">
        <v>3</v>
      </c>
      <c r="G27" t="s">
        <v>39</v>
      </c>
      <c r="H27">
        <v>0.59749130002455697</v>
      </c>
      <c r="I27" t="s">
        <v>33</v>
      </c>
      <c r="J27">
        <v>3</v>
      </c>
      <c r="K27">
        <v>4</v>
      </c>
      <c r="L27">
        <v>25</v>
      </c>
      <c r="M27">
        <v>5</v>
      </c>
      <c r="N27">
        <v>49.721990000049097</v>
      </c>
      <c r="P27">
        <v>49.716355100041199</v>
      </c>
      <c r="Q27">
        <v>49.721990000049097</v>
      </c>
      <c r="R27">
        <v>50.720782999996999</v>
      </c>
      <c r="S27">
        <v>50.720782999996999</v>
      </c>
      <c r="T27">
        <v>50.737424100050703</v>
      </c>
      <c r="U27">
        <v>51.321757800003901</v>
      </c>
      <c r="V27" t="s">
        <v>39</v>
      </c>
      <c r="W27">
        <v>0.59749130002455697</v>
      </c>
      <c r="X27" t="s">
        <v>33</v>
      </c>
      <c r="Y27" t="s">
        <v>34</v>
      </c>
      <c r="Z27">
        <v>1</v>
      </c>
      <c r="AA27" t="s">
        <v>35</v>
      </c>
      <c r="AB27" t="s">
        <v>36</v>
      </c>
      <c r="AD27" t="s">
        <v>37</v>
      </c>
      <c r="AE27">
        <v>59.9962442344506</v>
      </c>
      <c r="AF27" t="s">
        <v>38</v>
      </c>
    </row>
    <row r="28" spans="1:32" x14ac:dyDescent="0.25">
      <c r="A28">
        <v>78</v>
      </c>
      <c r="B28">
        <v>80</v>
      </c>
      <c r="C28">
        <v>162</v>
      </c>
      <c r="D28">
        <v>26</v>
      </c>
      <c r="E28">
        <v>5</v>
      </c>
      <c r="F28">
        <v>3</v>
      </c>
      <c r="G28" t="s">
        <v>32</v>
      </c>
      <c r="H28">
        <v>0.748975599999539</v>
      </c>
      <c r="I28" t="s">
        <v>33</v>
      </c>
      <c r="J28">
        <v>3</v>
      </c>
      <c r="K28">
        <v>5</v>
      </c>
      <c r="L28">
        <v>26</v>
      </c>
      <c r="M28">
        <v>6</v>
      </c>
      <c r="N28">
        <v>51.337827900017103</v>
      </c>
      <c r="P28">
        <v>51.3319751000381</v>
      </c>
      <c r="Q28">
        <v>51.337827900017103</v>
      </c>
      <c r="R28">
        <v>52.321079200017202</v>
      </c>
      <c r="S28">
        <v>52.321079200017202</v>
      </c>
      <c r="T28">
        <v>52.337702599994302</v>
      </c>
      <c r="U28">
        <v>53.072262600005999</v>
      </c>
      <c r="V28" t="s">
        <v>32</v>
      </c>
      <c r="W28">
        <v>0.748975599999539</v>
      </c>
      <c r="X28" t="s">
        <v>33</v>
      </c>
      <c r="Y28" t="s">
        <v>34</v>
      </c>
      <c r="Z28">
        <v>1</v>
      </c>
      <c r="AA28" t="s">
        <v>35</v>
      </c>
      <c r="AB28" t="s">
        <v>36</v>
      </c>
      <c r="AD28" t="s">
        <v>37</v>
      </c>
      <c r="AE28">
        <v>59.9962442344506</v>
      </c>
      <c r="AF28" t="s">
        <v>38</v>
      </c>
    </row>
    <row r="29" spans="1:32" x14ac:dyDescent="0.25">
      <c r="A29">
        <v>15</v>
      </c>
      <c r="B29">
        <v>35</v>
      </c>
      <c r="C29">
        <v>13</v>
      </c>
      <c r="D29">
        <v>27</v>
      </c>
      <c r="E29">
        <v>6</v>
      </c>
      <c r="F29">
        <v>3</v>
      </c>
      <c r="G29" t="s">
        <v>39</v>
      </c>
      <c r="H29">
        <v>1.02167190000182</v>
      </c>
      <c r="I29" t="s">
        <v>33</v>
      </c>
      <c r="J29">
        <v>3</v>
      </c>
      <c r="K29">
        <v>6</v>
      </c>
      <c r="L29">
        <v>27</v>
      </c>
      <c r="M29">
        <v>1</v>
      </c>
      <c r="N29">
        <v>53.089960300014297</v>
      </c>
      <c r="P29">
        <v>53.084118700004097</v>
      </c>
      <c r="Q29">
        <v>53.089960300014297</v>
      </c>
      <c r="R29">
        <v>54.087783100025199</v>
      </c>
      <c r="S29">
        <v>54.087783100025199</v>
      </c>
      <c r="T29">
        <v>54.104171600018098</v>
      </c>
      <c r="U29">
        <v>55.121700000017803</v>
      </c>
      <c r="V29" t="s">
        <v>39</v>
      </c>
      <c r="W29">
        <v>1.02167190000182</v>
      </c>
      <c r="X29" t="s">
        <v>33</v>
      </c>
      <c r="Y29" t="s">
        <v>34</v>
      </c>
      <c r="Z29">
        <v>1</v>
      </c>
      <c r="AA29" t="s">
        <v>35</v>
      </c>
      <c r="AB29" t="s">
        <v>36</v>
      </c>
      <c r="AD29" t="s">
        <v>37</v>
      </c>
      <c r="AE29">
        <v>59.9962442344506</v>
      </c>
      <c r="AF29" t="s">
        <v>38</v>
      </c>
    </row>
    <row r="30" spans="1:32" x14ac:dyDescent="0.25">
      <c r="A30">
        <v>27</v>
      </c>
      <c r="B30">
        <v>50</v>
      </c>
      <c r="C30">
        <v>21</v>
      </c>
      <c r="D30">
        <v>28</v>
      </c>
      <c r="E30">
        <v>0</v>
      </c>
      <c r="F30">
        <v>4</v>
      </c>
      <c r="G30" t="s">
        <v>32</v>
      </c>
      <c r="H30">
        <v>0.58993990003364105</v>
      </c>
      <c r="I30" t="s">
        <v>33</v>
      </c>
      <c r="J30">
        <v>4</v>
      </c>
      <c r="K30">
        <v>0</v>
      </c>
      <c r="L30">
        <v>28</v>
      </c>
      <c r="M30">
        <v>2</v>
      </c>
      <c r="N30">
        <v>55.1383476000046</v>
      </c>
      <c r="P30">
        <v>55.131953600037299</v>
      </c>
      <c r="Q30">
        <v>55.1383476000046</v>
      </c>
      <c r="R30">
        <v>56.135942900029399</v>
      </c>
      <c r="S30">
        <v>56.135942900029399</v>
      </c>
      <c r="T30">
        <v>56.152824899996602</v>
      </c>
      <c r="U30">
        <v>56.736613800050598</v>
      </c>
      <c r="V30" t="s">
        <v>32</v>
      </c>
      <c r="W30">
        <v>0.58993990003364105</v>
      </c>
      <c r="X30" t="s">
        <v>33</v>
      </c>
      <c r="Y30" t="s">
        <v>34</v>
      </c>
      <c r="Z30">
        <v>1</v>
      </c>
      <c r="AA30" t="s">
        <v>35</v>
      </c>
      <c r="AB30" t="s">
        <v>36</v>
      </c>
      <c r="AD30" t="s">
        <v>37</v>
      </c>
      <c r="AE30">
        <v>59.9962442344506</v>
      </c>
      <c r="AF30" t="s">
        <v>38</v>
      </c>
    </row>
    <row r="31" spans="1:32" x14ac:dyDescent="0.25">
      <c r="A31">
        <v>11</v>
      </c>
      <c r="B31">
        <v>30</v>
      </c>
      <c r="C31">
        <v>7</v>
      </c>
      <c r="D31">
        <v>29</v>
      </c>
      <c r="E31">
        <v>1</v>
      </c>
      <c r="F31">
        <v>4</v>
      </c>
      <c r="G31" t="s">
        <v>39</v>
      </c>
      <c r="H31">
        <v>1.0492106999736199</v>
      </c>
      <c r="I31" t="s">
        <v>33</v>
      </c>
      <c r="J31">
        <v>4</v>
      </c>
      <c r="K31">
        <v>1</v>
      </c>
      <c r="L31">
        <v>29</v>
      </c>
      <c r="M31">
        <v>0</v>
      </c>
      <c r="N31">
        <v>56.7526505000423</v>
      </c>
      <c r="P31">
        <v>56.743376400030598</v>
      </c>
      <c r="Q31">
        <v>56.7526505000423</v>
      </c>
      <c r="R31">
        <v>57.739237000001502</v>
      </c>
      <c r="S31">
        <v>57.739237000001502</v>
      </c>
      <c r="T31">
        <v>57.754834400024201</v>
      </c>
      <c r="U31">
        <v>58.792548500001402</v>
      </c>
      <c r="V31" t="s">
        <v>39</v>
      </c>
      <c r="W31">
        <v>1.0492106999736199</v>
      </c>
      <c r="X31" t="s">
        <v>33</v>
      </c>
      <c r="Y31" t="s">
        <v>34</v>
      </c>
      <c r="Z31">
        <v>1</v>
      </c>
      <c r="AA31" t="s">
        <v>35</v>
      </c>
      <c r="AB31" t="s">
        <v>36</v>
      </c>
      <c r="AD31" t="s">
        <v>37</v>
      </c>
      <c r="AE31">
        <v>59.9962442344506</v>
      </c>
      <c r="AF31" t="s">
        <v>38</v>
      </c>
    </row>
    <row r="32" spans="1:32" x14ac:dyDescent="0.25">
      <c r="A32">
        <v>15</v>
      </c>
      <c r="B32">
        <v>35</v>
      </c>
      <c r="C32">
        <v>13</v>
      </c>
      <c r="D32">
        <v>30</v>
      </c>
      <c r="E32">
        <v>2</v>
      </c>
      <c r="F32">
        <v>4</v>
      </c>
      <c r="G32" t="s">
        <v>39</v>
      </c>
      <c r="H32">
        <v>1.14124590001301</v>
      </c>
      <c r="I32" t="s">
        <v>33</v>
      </c>
      <c r="J32">
        <v>4</v>
      </c>
      <c r="K32">
        <v>2</v>
      </c>
      <c r="L32">
        <v>30</v>
      </c>
      <c r="M32">
        <v>1</v>
      </c>
      <c r="N32">
        <v>58.817314000043503</v>
      </c>
      <c r="P32">
        <v>58.810826600005299</v>
      </c>
      <c r="Q32">
        <v>58.817314000043503</v>
      </c>
      <c r="R32">
        <v>59.803597400023101</v>
      </c>
      <c r="S32">
        <v>59.803597400023101</v>
      </c>
      <c r="T32">
        <v>59.821014800050698</v>
      </c>
      <c r="U32">
        <v>60.953516800014697</v>
      </c>
      <c r="V32" t="s">
        <v>39</v>
      </c>
      <c r="W32">
        <v>1.14124590001301</v>
      </c>
      <c r="X32" t="s">
        <v>33</v>
      </c>
      <c r="Y32" t="s">
        <v>34</v>
      </c>
      <c r="Z32">
        <v>1</v>
      </c>
      <c r="AA32" t="s">
        <v>35</v>
      </c>
      <c r="AB32" t="s">
        <v>36</v>
      </c>
      <c r="AD32" t="s">
        <v>37</v>
      </c>
      <c r="AE32">
        <v>59.9962442344506</v>
      </c>
      <c r="AF32" t="s">
        <v>38</v>
      </c>
    </row>
    <row r="33" spans="1:32" x14ac:dyDescent="0.25">
      <c r="A33">
        <v>67</v>
      </c>
      <c r="B33">
        <v>75</v>
      </c>
      <c r="C33">
        <v>119</v>
      </c>
      <c r="D33">
        <v>31</v>
      </c>
      <c r="E33">
        <v>3</v>
      </c>
      <c r="F33">
        <v>4</v>
      </c>
      <c r="G33" t="s">
        <v>39</v>
      </c>
      <c r="H33">
        <v>0.72808000002987605</v>
      </c>
      <c r="I33" t="s">
        <v>33</v>
      </c>
      <c r="J33">
        <v>4</v>
      </c>
      <c r="K33">
        <v>3</v>
      </c>
      <c r="L33">
        <v>31</v>
      </c>
      <c r="M33">
        <v>5</v>
      </c>
      <c r="N33">
        <v>60.969100200047201</v>
      </c>
      <c r="P33">
        <v>60.957997300021802</v>
      </c>
      <c r="Q33">
        <v>60.969100200047201</v>
      </c>
      <c r="R33">
        <v>61.969134300015803</v>
      </c>
      <c r="S33">
        <v>61.969134300015803</v>
      </c>
      <c r="T33">
        <v>61.969134300015803</v>
      </c>
      <c r="U33">
        <v>62.705278900044497</v>
      </c>
      <c r="V33" t="s">
        <v>39</v>
      </c>
      <c r="W33">
        <v>0.72808000002987605</v>
      </c>
      <c r="X33" t="s">
        <v>33</v>
      </c>
      <c r="Y33" t="s">
        <v>34</v>
      </c>
      <c r="Z33">
        <v>1</v>
      </c>
      <c r="AA33" t="s">
        <v>35</v>
      </c>
      <c r="AB33" t="s">
        <v>36</v>
      </c>
      <c r="AD33" t="s">
        <v>37</v>
      </c>
      <c r="AE33">
        <v>59.9962442344506</v>
      </c>
      <c r="AF33" t="s">
        <v>38</v>
      </c>
    </row>
    <row r="34" spans="1:32" x14ac:dyDescent="0.25">
      <c r="A34">
        <v>78</v>
      </c>
      <c r="B34">
        <v>80</v>
      </c>
      <c r="C34">
        <v>162</v>
      </c>
      <c r="D34">
        <v>32</v>
      </c>
      <c r="E34">
        <v>4</v>
      </c>
      <c r="F34">
        <v>4</v>
      </c>
      <c r="G34" t="s">
        <v>39</v>
      </c>
      <c r="H34">
        <v>0.89628789998823699</v>
      </c>
      <c r="I34" t="s">
        <v>33</v>
      </c>
      <c r="J34">
        <v>4</v>
      </c>
      <c r="K34">
        <v>4</v>
      </c>
      <c r="L34">
        <v>32</v>
      </c>
      <c r="M34">
        <v>6</v>
      </c>
      <c r="N34">
        <v>62.721226599998701</v>
      </c>
      <c r="P34">
        <v>62.714298900042103</v>
      </c>
      <c r="Q34">
        <v>62.721226599998701</v>
      </c>
      <c r="R34">
        <v>63.720698999997602</v>
      </c>
      <c r="S34">
        <v>63.720698999997602</v>
      </c>
      <c r="T34">
        <v>63.720698999997602</v>
      </c>
      <c r="U34">
        <v>64.625780500005902</v>
      </c>
      <c r="V34" t="s">
        <v>39</v>
      </c>
      <c r="W34">
        <v>0.89628789998823699</v>
      </c>
      <c r="X34" t="s">
        <v>33</v>
      </c>
      <c r="Y34" t="s">
        <v>34</v>
      </c>
      <c r="Z34">
        <v>1</v>
      </c>
      <c r="AA34" t="s">
        <v>35</v>
      </c>
      <c r="AB34" t="s">
        <v>36</v>
      </c>
      <c r="AD34" t="s">
        <v>37</v>
      </c>
      <c r="AE34">
        <v>59.9962442344506</v>
      </c>
      <c r="AF34" t="s">
        <v>38</v>
      </c>
    </row>
    <row r="35" spans="1:32" x14ac:dyDescent="0.25">
      <c r="A35">
        <v>49</v>
      </c>
      <c r="B35">
        <v>60</v>
      </c>
      <c r="C35">
        <v>89</v>
      </c>
      <c r="D35">
        <v>33</v>
      </c>
      <c r="E35">
        <v>5</v>
      </c>
      <c r="F35">
        <v>4</v>
      </c>
      <c r="G35" t="s">
        <v>32</v>
      </c>
      <c r="H35">
        <v>0.33274879999225898</v>
      </c>
      <c r="I35" t="s">
        <v>33</v>
      </c>
      <c r="J35">
        <v>4</v>
      </c>
      <c r="K35">
        <v>5</v>
      </c>
      <c r="L35">
        <v>33</v>
      </c>
      <c r="M35">
        <v>4</v>
      </c>
      <c r="N35">
        <v>64.648571300029204</v>
      </c>
      <c r="P35">
        <v>64.643047499994196</v>
      </c>
      <c r="Q35">
        <v>64.648571300029204</v>
      </c>
      <c r="R35">
        <v>65.638015600037704</v>
      </c>
      <c r="S35">
        <v>65.638015600037704</v>
      </c>
      <c r="T35">
        <v>65.654506699997</v>
      </c>
      <c r="U35">
        <v>65.972533499996601</v>
      </c>
      <c r="V35" t="s">
        <v>32</v>
      </c>
      <c r="W35">
        <v>0.33274879999225898</v>
      </c>
      <c r="X35" t="s">
        <v>33</v>
      </c>
      <c r="Y35" t="s">
        <v>34</v>
      </c>
      <c r="Z35">
        <v>1</v>
      </c>
      <c r="AA35" t="s">
        <v>35</v>
      </c>
      <c r="AB35" t="s">
        <v>36</v>
      </c>
      <c r="AD35" t="s">
        <v>37</v>
      </c>
      <c r="AE35">
        <v>59.9962442344506</v>
      </c>
      <c r="AF35" t="s">
        <v>38</v>
      </c>
    </row>
    <row r="36" spans="1:32" x14ac:dyDescent="0.25">
      <c r="A36">
        <v>40</v>
      </c>
      <c r="B36">
        <v>55</v>
      </c>
      <c r="C36">
        <v>62</v>
      </c>
      <c r="D36">
        <v>34</v>
      </c>
      <c r="E36">
        <v>6</v>
      </c>
      <c r="F36">
        <v>4</v>
      </c>
      <c r="G36" t="s">
        <v>32</v>
      </c>
      <c r="H36">
        <v>0.40041719999862802</v>
      </c>
      <c r="I36" t="s">
        <v>33</v>
      </c>
      <c r="J36">
        <v>4</v>
      </c>
      <c r="K36">
        <v>6</v>
      </c>
      <c r="L36">
        <v>34</v>
      </c>
      <c r="M36">
        <v>3</v>
      </c>
      <c r="N36">
        <v>65.989839700050595</v>
      </c>
      <c r="P36">
        <v>65.984310800035004</v>
      </c>
      <c r="Q36">
        <v>65.989839700050595</v>
      </c>
      <c r="R36">
        <v>66.972929600044097</v>
      </c>
      <c r="S36">
        <v>66.972929600044097</v>
      </c>
      <c r="T36">
        <v>66.988710200006594</v>
      </c>
      <c r="U36">
        <v>67.387673699995503</v>
      </c>
      <c r="V36" t="s">
        <v>32</v>
      </c>
      <c r="W36">
        <v>0.40041719999862802</v>
      </c>
      <c r="X36" t="s">
        <v>33</v>
      </c>
      <c r="Y36" t="s">
        <v>34</v>
      </c>
      <c r="Z36">
        <v>1</v>
      </c>
      <c r="AA36" t="s">
        <v>35</v>
      </c>
      <c r="AB36" t="s">
        <v>36</v>
      </c>
      <c r="AD36" t="s">
        <v>37</v>
      </c>
      <c r="AE36">
        <v>59.9962442344506</v>
      </c>
      <c r="AF36" t="s">
        <v>38</v>
      </c>
    </row>
    <row r="37" spans="1:32" x14ac:dyDescent="0.25">
      <c r="A37">
        <v>15</v>
      </c>
      <c r="B37">
        <v>35</v>
      </c>
      <c r="C37">
        <v>13</v>
      </c>
      <c r="D37">
        <v>35</v>
      </c>
      <c r="E37">
        <v>0</v>
      </c>
      <c r="F37">
        <v>5</v>
      </c>
      <c r="G37" t="s">
        <v>39</v>
      </c>
      <c r="H37">
        <v>0.44369270000606698</v>
      </c>
      <c r="I37" t="s">
        <v>33</v>
      </c>
      <c r="J37">
        <v>5</v>
      </c>
      <c r="K37">
        <v>0</v>
      </c>
      <c r="L37">
        <v>35</v>
      </c>
      <c r="M37">
        <v>1</v>
      </c>
      <c r="N37">
        <v>67.403469300013896</v>
      </c>
      <c r="P37">
        <v>67.397305999998906</v>
      </c>
      <c r="Q37">
        <v>67.403469300013896</v>
      </c>
      <c r="R37">
        <v>68.402625999995493</v>
      </c>
      <c r="S37">
        <v>68.402625999995493</v>
      </c>
      <c r="T37">
        <v>68.402625999995493</v>
      </c>
      <c r="U37">
        <v>68.857644500036201</v>
      </c>
      <c r="V37" t="s">
        <v>39</v>
      </c>
      <c r="W37">
        <v>0.44369270000606698</v>
      </c>
      <c r="X37" t="s">
        <v>33</v>
      </c>
      <c r="Y37" t="s">
        <v>34</v>
      </c>
      <c r="Z37">
        <v>1</v>
      </c>
      <c r="AA37" t="s">
        <v>35</v>
      </c>
      <c r="AB37" t="s">
        <v>36</v>
      </c>
      <c r="AD37" t="s">
        <v>37</v>
      </c>
      <c r="AE37">
        <v>59.9962442344506</v>
      </c>
      <c r="AF37" t="s">
        <v>38</v>
      </c>
    </row>
    <row r="38" spans="1:32" x14ac:dyDescent="0.25">
      <c r="A38">
        <v>78</v>
      </c>
      <c r="B38">
        <v>80</v>
      </c>
      <c r="C38">
        <v>162</v>
      </c>
      <c r="D38">
        <v>36</v>
      </c>
      <c r="E38">
        <v>1</v>
      </c>
      <c r="F38">
        <v>5</v>
      </c>
      <c r="G38" t="s">
        <v>32</v>
      </c>
      <c r="H38">
        <v>0.29533819999778599</v>
      </c>
      <c r="I38" t="s">
        <v>33</v>
      </c>
      <c r="J38">
        <v>5</v>
      </c>
      <c r="K38">
        <v>1</v>
      </c>
      <c r="L38">
        <v>36</v>
      </c>
      <c r="M38">
        <v>6</v>
      </c>
      <c r="N38">
        <v>68.877419700031098</v>
      </c>
      <c r="P38">
        <v>68.872965899994597</v>
      </c>
      <c r="Q38">
        <v>68.877419700031098</v>
      </c>
      <c r="R38">
        <v>69.870663700043195</v>
      </c>
      <c r="S38">
        <v>69.870663700043195</v>
      </c>
      <c r="T38">
        <v>69.887221700046197</v>
      </c>
      <c r="U38">
        <v>70.171838100010007</v>
      </c>
      <c r="V38" t="s">
        <v>32</v>
      </c>
      <c r="W38">
        <v>0.29533819999778599</v>
      </c>
      <c r="X38" t="s">
        <v>33</v>
      </c>
      <c r="Y38" t="s">
        <v>34</v>
      </c>
      <c r="Z38">
        <v>1</v>
      </c>
      <c r="AA38" t="s">
        <v>35</v>
      </c>
      <c r="AB38" t="s">
        <v>36</v>
      </c>
      <c r="AD38" t="s">
        <v>37</v>
      </c>
      <c r="AE38">
        <v>59.9962442344506</v>
      </c>
      <c r="AF38" t="s">
        <v>38</v>
      </c>
    </row>
    <row r="39" spans="1:32" x14ac:dyDescent="0.25">
      <c r="A39">
        <v>11</v>
      </c>
      <c r="B39">
        <v>30</v>
      </c>
      <c r="C39">
        <v>7</v>
      </c>
      <c r="D39">
        <v>37</v>
      </c>
      <c r="E39">
        <v>2</v>
      </c>
      <c r="F39">
        <v>5</v>
      </c>
      <c r="G39" t="s">
        <v>39</v>
      </c>
      <c r="H39">
        <v>0.31593159999465498</v>
      </c>
      <c r="I39" t="s">
        <v>33</v>
      </c>
      <c r="J39">
        <v>5</v>
      </c>
      <c r="K39">
        <v>2</v>
      </c>
      <c r="L39">
        <v>37</v>
      </c>
      <c r="M39">
        <v>0</v>
      </c>
      <c r="N39">
        <v>70.191667300008703</v>
      </c>
      <c r="P39">
        <v>70.182182000018599</v>
      </c>
      <c r="Q39">
        <v>70.191667300008703</v>
      </c>
      <c r="R39">
        <v>71.170990500016998</v>
      </c>
      <c r="S39">
        <v>71.170990500016998</v>
      </c>
      <c r="T39">
        <v>71.204227900016093</v>
      </c>
      <c r="U39">
        <v>71.489041300024795</v>
      </c>
      <c r="V39" t="s">
        <v>39</v>
      </c>
      <c r="W39">
        <v>0.31593159999465498</v>
      </c>
      <c r="X39" t="s">
        <v>33</v>
      </c>
      <c r="Y39" t="s">
        <v>34</v>
      </c>
      <c r="Z39">
        <v>1</v>
      </c>
      <c r="AA39" t="s">
        <v>35</v>
      </c>
      <c r="AB39" t="s">
        <v>36</v>
      </c>
      <c r="AD39" t="s">
        <v>37</v>
      </c>
      <c r="AE39">
        <v>59.9962442344506</v>
      </c>
      <c r="AF39" t="s">
        <v>38</v>
      </c>
    </row>
    <row r="40" spans="1:32" x14ac:dyDescent="0.25">
      <c r="A40">
        <v>40</v>
      </c>
      <c r="B40">
        <v>55</v>
      </c>
      <c r="C40">
        <v>62</v>
      </c>
      <c r="D40">
        <v>38</v>
      </c>
      <c r="E40">
        <v>3</v>
      </c>
      <c r="F40">
        <v>5</v>
      </c>
      <c r="G40" t="s">
        <v>32</v>
      </c>
      <c r="H40">
        <v>0.34640540002146702</v>
      </c>
      <c r="I40" t="s">
        <v>33</v>
      </c>
      <c r="J40">
        <v>5</v>
      </c>
      <c r="K40">
        <v>3</v>
      </c>
      <c r="L40">
        <v>38</v>
      </c>
      <c r="M40">
        <v>3</v>
      </c>
      <c r="N40">
        <v>71.504444700025402</v>
      </c>
      <c r="P40">
        <v>71.4983449000283</v>
      </c>
      <c r="Q40">
        <v>71.504444700025402</v>
      </c>
      <c r="R40">
        <v>72.490362800017394</v>
      </c>
      <c r="S40">
        <v>72.490362800017394</v>
      </c>
      <c r="T40">
        <v>72.507060900039505</v>
      </c>
      <c r="U40">
        <v>72.842604300007196</v>
      </c>
      <c r="V40" t="s">
        <v>32</v>
      </c>
      <c r="W40">
        <v>0.34640540002146702</v>
      </c>
      <c r="X40" t="s">
        <v>33</v>
      </c>
      <c r="Y40" t="s">
        <v>34</v>
      </c>
      <c r="Z40">
        <v>1</v>
      </c>
      <c r="AA40" t="s">
        <v>35</v>
      </c>
      <c r="AB40" t="s">
        <v>36</v>
      </c>
      <c r="AD40" t="s">
        <v>37</v>
      </c>
      <c r="AE40">
        <v>59.9962442344506</v>
      </c>
      <c r="AF40" t="s">
        <v>38</v>
      </c>
    </row>
    <row r="41" spans="1:32" x14ac:dyDescent="0.25">
      <c r="A41">
        <v>49</v>
      </c>
      <c r="B41">
        <v>60</v>
      </c>
      <c r="C41">
        <v>89</v>
      </c>
      <c r="D41">
        <v>39</v>
      </c>
      <c r="E41">
        <v>4</v>
      </c>
      <c r="F41">
        <v>5</v>
      </c>
      <c r="G41" t="s">
        <v>39</v>
      </c>
      <c r="H41">
        <v>0.56188629998359796</v>
      </c>
      <c r="I41" t="s">
        <v>33</v>
      </c>
      <c r="J41">
        <v>5</v>
      </c>
      <c r="K41">
        <v>4</v>
      </c>
      <c r="L41">
        <v>39</v>
      </c>
      <c r="M41">
        <v>4</v>
      </c>
      <c r="N41">
        <v>72.871059500030199</v>
      </c>
      <c r="P41">
        <v>72.863723700051196</v>
      </c>
      <c r="Q41">
        <v>72.871059500030199</v>
      </c>
      <c r="R41">
        <v>73.857054400024893</v>
      </c>
      <c r="S41">
        <v>73.857054400024893</v>
      </c>
      <c r="T41">
        <v>73.873697500035604</v>
      </c>
      <c r="U41">
        <v>74.425619100045793</v>
      </c>
      <c r="V41" t="s">
        <v>39</v>
      </c>
      <c r="W41">
        <v>0.56188629998359796</v>
      </c>
      <c r="X41" t="s">
        <v>33</v>
      </c>
      <c r="Y41" t="s">
        <v>34</v>
      </c>
      <c r="Z41">
        <v>1</v>
      </c>
      <c r="AA41" t="s">
        <v>35</v>
      </c>
      <c r="AB41" t="s">
        <v>36</v>
      </c>
      <c r="AD41" t="s">
        <v>37</v>
      </c>
      <c r="AE41">
        <v>59.9962442344506</v>
      </c>
      <c r="AF41" t="s">
        <v>38</v>
      </c>
    </row>
    <row r="42" spans="1:32" x14ac:dyDescent="0.25">
      <c r="A42">
        <v>27</v>
      </c>
      <c r="B42">
        <v>50</v>
      </c>
      <c r="C42">
        <v>21</v>
      </c>
      <c r="D42">
        <v>40</v>
      </c>
      <c r="E42">
        <v>5</v>
      </c>
      <c r="F42">
        <v>5</v>
      </c>
      <c r="G42" t="s">
        <v>32</v>
      </c>
      <c r="H42">
        <v>0.37711549998493799</v>
      </c>
      <c r="I42" t="s">
        <v>33</v>
      </c>
      <c r="J42">
        <v>5</v>
      </c>
      <c r="K42">
        <v>5</v>
      </c>
      <c r="L42">
        <v>40</v>
      </c>
      <c r="M42">
        <v>2</v>
      </c>
      <c r="N42">
        <v>74.453274900035396</v>
      </c>
      <c r="P42">
        <v>74.446146100002807</v>
      </c>
      <c r="Q42">
        <v>74.453274900035396</v>
      </c>
      <c r="R42">
        <v>75.437454900005804</v>
      </c>
      <c r="S42">
        <v>75.437454900005804</v>
      </c>
      <c r="T42">
        <v>75.453879400039995</v>
      </c>
      <c r="U42">
        <v>75.820948700013105</v>
      </c>
      <c r="V42" t="s">
        <v>32</v>
      </c>
      <c r="W42">
        <v>0.37711549998493799</v>
      </c>
      <c r="X42" t="s">
        <v>33</v>
      </c>
      <c r="Y42" t="s">
        <v>34</v>
      </c>
      <c r="Z42">
        <v>1</v>
      </c>
      <c r="AA42" t="s">
        <v>35</v>
      </c>
      <c r="AB42" t="s">
        <v>36</v>
      </c>
      <c r="AD42" t="s">
        <v>37</v>
      </c>
      <c r="AE42">
        <v>59.9962442344506</v>
      </c>
      <c r="AF42" t="s">
        <v>38</v>
      </c>
    </row>
    <row r="43" spans="1:32" x14ac:dyDescent="0.25">
      <c r="A43">
        <v>67</v>
      </c>
      <c r="B43">
        <v>75</v>
      </c>
      <c r="C43">
        <v>119</v>
      </c>
      <c r="D43">
        <v>41</v>
      </c>
      <c r="E43">
        <v>6</v>
      </c>
      <c r="F43">
        <v>5</v>
      </c>
      <c r="G43" t="s">
        <v>32</v>
      </c>
      <c r="H43">
        <v>0.83794549998128698</v>
      </c>
      <c r="I43" t="s">
        <v>33</v>
      </c>
      <c r="J43">
        <v>5</v>
      </c>
      <c r="K43">
        <v>6</v>
      </c>
      <c r="L43">
        <v>41</v>
      </c>
      <c r="M43">
        <v>5</v>
      </c>
      <c r="N43">
        <v>75.836793399997902</v>
      </c>
      <c r="P43">
        <v>75.828035800019194</v>
      </c>
      <c r="Q43">
        <v>75.836793399997902</v>
      </c>
      <c r="R43">
        <v>76.836538300034505</v>
      </c>
      <c r="S43">
        <v>76.836538300034505</v>
      </c>
      <c r="T43">
        <v>76.836538300034505</v>
      </c>
      <c r="U43">
        <v>77.687887100037102</v>
      </c>
      <c r="V43" t="s">
        <v>32</v>
      </c>
      <c r="W43">
        <v>0.83794549998128698</v>
      </c>
      <c r="X43" t="s">
        <v>33</v>
      </c>
      <c r="Y43" t="s">
        <v>34</v>
      </c>
      <c r="Z43">
        <v>1</v>
      </c>
      <c r="AA43" t="s">
        <v>35</v>
      </c>
      <c r="AB43" t="s">
        <v>36</v>
      </c>
      <c r="AD43" t="s">
        <v>37</v>
      </c>
      <c r="AE43">
        <v>59.9962442344506</v>
      </c>
      <c r="AF43" t="s">
        <v>38</v>
      </c>
    </row>
    <row r="44" spans="1:32" x14ac:dyDescent="0.25">
      <c r="A44">
        <v>40</v>
      </c>
      <c r="B44">
        <v>55</v>
      </c>
      <c r="C44">
        <v>62</v>
      </c>
      <c r="D44">
        <v>42</v>
      </c>
      <c r="E44">
        <v>0</v>
      </c>
      <c r="F44">
        <v>6</v>
      </c>
      <c r="G44" t="s">
        <v>39</v>
      </c>
      <c r="H44">
        <v>0.36350399994989802</v>
      </c>
      <c r="I44" t="s">
        <v>33</v>
      </c>
      <c r="J44">
        <v>6</v>
      </c>
      <c r="K44">
        <v>0</v>
      </c>
      <c r="L44">
        <v>42</v>
      </c>
      <c r="M44">
        <v>3</v>
      </c>
      <c r="N44">
        <v>77.703407199995098</v>
      </c>
      <c r="P44">
        <v>77.6960667000385</v>
      </c>
      <c r="Q44">
        <v>77.703407199995098</v>
      </c>
      <c r="R44">
        <v>78.691018200013701</v>
      </c>
      <c r="S44">
        <v>78.691018200013701</v>
      </c>
      <c r="T44">
        <v>78.7071638000197</v>
      </c>
      <c r="U44">
        <v>79.071533200039994</v>
      </c>
      <c r="V44" t="s">
        <v>39</v>
      </c>
      <c r="W44">
        <v>0.36350399994989802</v>
      </c>
      <c r="X44" t="s">
        <v>33</v>
      </c>
      <c r="Y44" t="s">
        <v>34</v>
      </c>
      <c r="Z44">
        <v>1</v>
      </c>
      <c r="AA44" t="s">
        <v>35</v>
      </c>
      <c r="AB44" t="s">
        <v>36</v>
      </c>
      <c r="AD44" t="s">
        <v>37</v>
      </c>
      <c r="AE44">
        <v>59.9962442344506</v>
      </c>
      <c r="AF44" t="s">
        <v>38</v>
      </c>
    </row>
    <row r="45" spans="1:32" x14ac:dyDescent="0.25">
      <c r="A45">
        <v>78</v>
      </c>
      <c r="B45">
        <v>80</v>
      </c>
      <c r="C45">
        <v>162</v>
      </c>
      <c r="D45">
        <v>43</v>
      </c>
      <c r="E45">
        <v>1</v>
      </c>
      <c r="F45">
        <v>6</v>
      </c>
      <c r="G45" t="s">
        <v>32</v>
      </c>
      <c r="H45">
        <v>0.32334040000568998</v>
      </c>
      <c r="I45" t="s">
        <v>33</v>
      </c>
      <c r="J45">
        <v>6</v>
      </c>
      <c r="K45">
        <v>1</v>
      </c>
      <c r="L45">
        <v>43</v>
      </c>
      <c r="M45">
        <v>6</v>
      </c>
      <c r="N45">
        <v>79.087802399997599</v>
      </c>
      <c r="P45">
        <v>79.080517900001695</v>
      </c>
      <c r="Q45">
        <v>79.087802399997599</v>
      </c>
      <c r="R45">
        <v>80.070821000030193</v>
      </c>
      <c r="S45">
        <v>80.070821000030193</v>
      </c>
      <c r="T45">
        <v>80.087529100012006</v>
      </c>
      <c r="U45">
        <v>80.404888699995297</v>
      </c>
      <c r="V45" t="s">
        <v>32</v>
      </c>
      <c r="W45">
        <v>0.32334040000568998</v>
      </c>
      <c r="X45" t="s">
        <v>33</v>
      </c>
      <c r="Y45" t="s">
        <v>34</v>
      </c>
      <c r="Z45">
        <v>1</v>
      </c>
      <c r="AA45" t="s">
        <v>35</v>
      </c>
      <c r="AB45" t="s">
        <v>36</v>
      </c>
      <c r="AD45" t="s">
        <v>37</v>
      </c>
      <c r="AE45">
        <v>59.9962442344506</v>
      </c>
      <c r="AF45" t="s">
        <v>38</v>
      </c>
    </row>
    <row r="46" spans="1:32" x14ac:dyDescent="0.25">
      <c r="A46">
        <v>15</v>
      </c>
      <c r="B46">
        <v>35</v>
      </c>
      <c r="C46">
        <v>13</v>
      </c>
      <c r="D46">
        <v>44</v>
      </c>
      <c r="E46">
        <v>2</v>
      </c>
      <c r="F46">
        <v>6</v>
      </c>
      <c r="G46" t="s">
        <v>39</v>
      </c>
      <c r="H46">
        <v>0.391441299987491</v>
      </c>
      <c r="I46" t="s">
        <v>33</v>
      </c>
      <c r="J46">
        <v>6</v>
      </c>
      <c r="K46">
        <v>2</v>
      </c>
      <c r="L46">
        <v>44</v>
      </c>
      <c r="M46">
        <v>1</v>
      </c>
      <c r="N46">
        <v>80.421280000009503</v>
      </c>
      <c r="P46">
        <v>80.415078599995397</v>
      </c>
      <c r="Q46">
        <v>80.421280000009503</v>
      </c>
      <c r="R46">
        <v>81.404178099997793</v>
      </c>
      <c r="S46">
        <v>81.404178099997793</v>
      </c>
      <c r="T46">
        <v>81.420877200027405</v>
      </c>
      <c r="U46">
        <v>81.804987200011894</v>
      </c>
      <c r="V46" t="s">
        <v>39</v>
      </c>
      <c r="W46">
        <v>0.391441299987491</v>
      </c>
      <c r="X46" t="s">
        <v>33</v>
      </c>
      <c r="Y46" t="s">
        <v>34</v>
      </c>
      <c r="Z46">
        <v>1</v>
      </c>
      <c r="AA46" t="s">
        <v>35</v>
      </c>
      <c r="AB46" t="s">
        <v>36</v>
      </c>
      <c r="AD46" t="s">
        <v>37</v>
      </c>
      <c r="AE46">
        <v>59.9962442344506</v>
      </c>
      <c r="AF46" t="s">
        <v>38</v>
      </c>
    </row>
    <row r="47" spans="1:32" x14ac:dyDescent="0.25">
      <c r="A47">
        <v>49</v>
      </c>
      <c r="B47">
        <v>60</v>
      </c>
      <c r="C47">
        <v>89</v>
      </c>
      <c r="D47">
        <v>45</v>
      </c>
      <c r="E47">
        <v>3</v>
      </c>
      <c r="F47">
        <v>6</v>
      </c>
      <c r="G47" t="s">
        <v>39</v>
      </c>
      <c r="H47">
        <v>0.30635839997557901</v>
      </c>
      <c r="I47" t="s">
        <v>33</v>
      </c>
      <c r="J47">
        <v>6</v>
      </c>
      <c r="K47">
        <v>3</v>
      </c>
      <c r="L47">
        <v>45</v>
      </c>
      <c r="M47">
        <v>4</v>
      </c>
      <c r="N47">
        <v>81.821521000005305</v>
      </c>
      <c r="P47">
        <v>81.814209200034298</v>
      </c>
      <c r="Q47">
        <v>81.821521000005305</v>
      </c>
      <c r="R47">
        <v>82.820297300000604</v>
      </c>
      <c r="S47">
        <v>82.820297300000604</v>
      </c>
      <c r="T47">
        <v>82.836241200042394</v>
      </c>
      <c r="U47">
        <v>83.136627700005107</v>
      </c>
      <c r="V47" t="s">
        <v>39</v>
      </c>
      <c r="W47">
        <v>0.30635839997557901</v>
      </c>
      <c r="X47" t="s">
        <v>33</v>
      </c>
      <c r="Y47" t="s">
        <v>34</v>
      </c>
      <c r="Z47">
        <v>1</v>
      </c>
      <c r="AA47" t="s">
        <v>35</v>
      </c>
      <c r="AB47" t="s">
        <v>36</v>
      </c>
      <c r="AD47" t="s">
        <v>37</v>
      </c>
      <c r="AE47">
        <v>59.9962442344506</v>
      </c>
      <c r="AF47" t="s">
        <v>38</v>
      </c>
    </row>
    <row r="48" spans="1:32" x14ac:dyDescent="0.25">
      <c r="A48">
        <v>11</v>
      </c>
      <c r="B48">
        <v>30</v>
      </c>
      <c r="C48">
        <v>7</v>
      </c>
      <c r="D48">
        <v>46</v>
      </c>
      <c r="E48">
        <v>4</v>
      </c>
      <c r="F48">
        <v>6</v>
      </c>
      <c r="G48" t="s">
        <v>32</v>
      </c>
      <c r="H48">
        <v>0.72893290000501998</v>
      </c>
      <c r="I48" t="s">
        <v>33</v>
      </c>
      <c r="J48">
        <v>6</v>
      </c>
      <c r="K48">
        <v>4</v>
      </c>
      <c r="L48">
        <v>46</v>
      </c>
      <c r="M48">
        <v>0</v>
      </c>
      <c r="N48">
        <v>83.153581599995903</v>
      </c>
      <c r="P48">
        <v>83.141304699995004</v>
      </c>
      <c r="Q48">
        <v>83.153581599995903</v>
      </c>
      <c r="R48">
        <v>84.136211300035896</v>
      </c>
      <c r="S48">
        <v>84.136211300035896</v>
      </c>
      <c r="T48">
        <v>84.153699700022102</v>
      </c>
      <c r="U48">
        <v>84.870105700043496</v>
      </c>
      <c r="V48" t="s">
        <v>32</v>
      </c>
      <c r="W48">
        <v>0.72893290000501998</v>
      </c>
      <c r="X48" t="s">
        <v>33</v>
      </c>
      <c r="Y48" t="s">
        <v>34</v>
      </c>
      <c r="Z48">
        <v>1</v>
      </c>
      <c r="AA48" t="s">
        <v>35</v>
      </c>
      <c r="AB48" t="s">
        <v>36</v>
      </c>
      <c r="AD48" t="s">
        <v>37</v>
      </c>
      <c r="AE48">
        <v>59.9962442344506</v>
      </c>
      <c r="AF48" t="s">
        <v>38</v>
      </c>
    </row>
    <row r="49" spans="1:32" x14ac:dyDescent="0.25">
      <c r="A49">
        <v>67</v>
      </c>
      <c r="B49">
        <v>75</v>
      </c>
      <c r="C49">
        <v>119</v>
      </c>
      <c r="D49">
        <v>47</v>
      </c>
      <c r="E49">
        <v>5</v>
      </c>
      <c r="F49">
        <v>6</v>
      </c>
      <c r="G49" t="s">
        <v>39</v>
      </c>
      <c r="H49">
        <v>0.44472919998224802</v>
      </c>
      <c r="I49" t="s">
        <v>33</v>
      </c>
      <c r="J49">
        <v>6</v>
      </c>
      <c r="K49">
        <v>5</v>
      </c>
      <c r="L49">
        <v>47</v>
      </c>
      <c r="M49">
        <v>5</v>
      </c>
      <c r="N49">
        <v>84.887040700006693</v>
      </c>
      <c r="P49">
        <v>84.874804600025499</v>
      </c>
      <c r="Q49">
        <v>84.887040700006693</v>
      </c>
      <c r="R49">
        <v>85.871916500036605</v>
      </c>
      <c r="S49">
        <v>85.871916500036605</v>
      </c>
      <c r="T49">
        <v>85.888718500034798</v>
      </c>
      <c r="U49">
        <v>86.323637599998605</v>
      </c>
      <c r="V49" t="s">
        <v>39</v>
      </c>
      <c r="W49">
        <v>0.44472919998224802</v>
      </c>
      <c r="X49" t="s">
        <v>33</v>
      </c>
      <c r="Y49" t="s">
        <v>34</v>
      </c>
      <c r="Z49">
        <v>1</v>
      </c>
      <c r="AA49" t="s">
        <v>35</v>
      </c>
      <c r="AB49" t="s">
        <v>36</v>
      </c>
      <c r="AD49" t="s">
        <v>37</v>
      </c>
      <c r="AE49">
        <v>59.9962442344506</v>
      </c>
      <c r="AF49" t="s">
        <v>38</v>
      </c>
    </row>
    <row r="50" spans="1:32" x14ac:dyDescent="0.25">
      <c r="A50">
        <v>27</v>
      </c>
      <c r="B50">
        <v>50</v>
      </c>
      <c r="C50">
        <v>21</v>
      </c>
      <c r="D50">
        <v>48</v>
      </c>
      <c r="E50">
        <v>6</v>
      </c>
      <c r="F50">
        <v>6</v>
      </c>
      <c r="G50" t="s">
        <v>39</v>
      </c>
      <c r="H50">
        <v>0.61083350004628301</v>
      </c>
      <c r="I50" t="s">
        <v>33</v>
      </c>
      <c r="J50">
        <v>6</v>
      </c>
      <c r="K50">
        <v>6</v>
      </c>
      <c r="L50">
        <v>48</v>
      </c>
      <c r="M50">
        <v>2</v>
      </c>
      <c r="N50">
        <v>86.340607499994803</v>
      </c>
      <c r="P50">
        <v>86.334472700022104</v>
      </c>
      <c r="Q50">
        <v>86.340607499994803</v>
      </c>
      <c r="R50">
        <v>87.337205200048601</v>
      </c>
      <c r="S50">
        <v>87.337205200048601</v>
      </c>
      <c r="T50">
        <v>87.354488000040803</v>
      </c>
      <c r="U50">
        <v>87.9596791000221</v>
      </c>
      <c r="V50" t="s">
        <v>39</v>
      </c>
      <c r="W50">
        <v>0.61083350004628301</v>
      </c>
      <c r="X50" t="s">
        <v>33</v>
      </c>
      <c r="Y50" t="s">
        <v>34</v>
      </c>
      <c r="Z50">
        <v>1</v>
      </c>
      <c r="AA50" t="s">
        <v>35</v>
      </c>
      <c r="AB50" t="s">
        <v>36</v>
      </c>
      <c r="AD50" t="s">
        <v>37</v>
      </c>
      <c r="AE50">
        <v>59.9962442344506</v>
      </c>
      <c r="AF50" t="s">
        <v>38</v>
      </c>
    </row>
    <row r="51" spans="1:32" x14ac:dyDescent="0.25">
      <c r="A51">
        <v>27</v>
      </c>
      <c r="B51">
        <v>50</v>
      </c>
      <c r="C51">
        <v>21</v>
      </c>
      <c r="D51">
        <v>49</v>
      </c>
      <c r="E51">
        <v>0</v>
      </c>
      <c r="F51">
        <v>7</v>
      </c>
      <c r="G51" t="s">
        <v>32</v>
      </c>
      <c r="H51">
        <v>0.35200010001426502</v>
      </c>
      <c r="I51" t="s">
        <v>33</v>
      </c>
      <c r="J51">
        <v>7</v>
      </c>
      <c r="K51">
        <v>0</v>
      </c>
      <c r="L51">
        <v>49</v>
      </c>
      <c r="M51">
        <v>2</v>
      </c>
      <c r="N51">
        <v>87.975177300046198</v>
      </c>
      <c r="P51">
        <v>87.960797300038394</v>
      </c>
      <c r="Q51">
        <v>87.975177300046198</v>
      </c>
      <c r="R51">
        <v>88.971667000034302</v>
      </c>
      <c r="S51">
        <v>88.971667000034302</v>
      </c>
      <c r="T51">
        <v>88.988591300032496</v>
      </c>
      <c r="U51">
        <v>89.338954200036795</v>
      </c>
      <c r="V51" t="s">
        <v>32</v>
      </c>
      <c r="W51">
        <v>0.35200010001426502</v>
      </c>
      <c r="X51" t="s">
        <v>33</v>
      </c>
      <c r="Y51" t="s">
        <v>34</v>
      </c>
      <c r="Z51">
        <v>1</v>
      </c>
      <c r="AA51" t="s">
        <v>35</v>
      </c>
      <c r="AB51" t="s">
        <v>36</v>
      </c>
      <c r="AD51" t="s">
        <v>37</v>
      </c>
      <c r="AE51">
        <v>59.9962442344506</v>
      </c>
      <c r="AF51" t="s">
        <v>38</v>
      </c>
    </row>
    <row r="52" spans="1:32" x14ac:dyDescent="0.25">
      <c r="A52">
        <v>15</v>
      </c>
      <c r="B52">
        <v>35</v>
      </c>
      <c r="C52">
        <v>13</v>
      </c>
      <c r="D52">
        <v>50</v>
      </c>
      <c r="E52">
        <v>1</v>
      </c>
      <c r="F52">
        <v>7</v>
      </c>
      <c r="G52" t="s">
        <v>39</v>
      </c>
      <c r="H52">
        <v>0.84060540003702</v>
      </c>
      <c r="I52" t="s">
        <v>33</v>
      </c>
      <c r="J52">
        <v>7</v>
      </c>
      <c r="K52">
        <v>1</v>
      </c>
      <c r="L52">
        <v>50</v>
      </c>
      <c r="M52">
        <v>1</v>
      </c>
      <c r="N52">
        <v>89.355882600008002</v>
      </c>
      <c r="P52">
        <v>89.350612000038296</v>
      </c>
      <c r="Q52">
        <v>89.355882600008002</v>
      </c>
      <c r="R52">
        <v>90.3408709000214</v>
      </c>
      <c r="S52">
        <v>90.3408709000214</v>
      </c>
      <c r="T52">
        <v>90.358561200031502</v>
      </c>
      <c r="U52">
        <v>91.188495900016207</v>
      </c>
      <c r="V52" t="s">
        <v>39</v>
      </c>
      <c r="W52">
        <v>0.84060540003702</v>
      </c>
      <c r="X52" t="s">
        <v>33</v>
      </c>
      <c r="Y52" t="s">
        <v>34</v>
      </c>
      <c r="Z52">
        <v>1</v>
      </c>
      <c r="AA52" t="s">
        <v>35</v>
      </c>
      <c r="AB52" t="s">
        <v>36</v>
      </c>
      <c r="AD52" t="s">
        <v>37</v>
      </c>
      <c r="AE52">
        <v>59.9962442344506</v>
      </c>
      <c r="AF52" t="s">
        <v>38</v>
      </c>
    </row>
    <row r="53" spans="1:32" x14ac:dyDescent="0.25">
      <c r="A53">
        <v>11</v>
      </c>
      <c r="B53">
        <v>30</v>
      </c>
      <c r="C53">
        <v>7</v>
      </c>
      <c r="D53">
        <v>51</v>
      </c>
      <c r="E53">
        <v>2</v>
      </c>
      <c r="F53">
        <v>7</v>
      </c>
      <c r="G53" t="s">
        <v>32</v>
      </c>
      <c r="H53">
        <v>0.80950860003940694</v>
      </c>
      <c r="I53" t="s">
        <v>33</v>
      </c>
      <c r="J53">
        <v>7</v>
      </c>
      <c r="K53">
        <v>2</v>
      </c>
      <c r="L53">
        <v>51</v>
      </c>
      <c r="M53">
        <v>0</v>
      </c>
      <c r="N53">
        <v>91.205834000022094</v>
      </c>
      <c r="P53">
        <v>91.199627000023597</v>
      </c>
      <c r="Q53">
        <v>91.205834000022094</v>
      </c>
      <c r="R53">
        <v>92.203445699997204</v>
      </c>
      <c r="S53">
        <v>92.203445699997204</v>
      </c>
      <c r="T53">
        <v>92.220760299998801</v>
      </c>
      <c r="U53">
        <v>93.020751700038005</v>
      </c>
      <c r="V53" t="s">
        <v>32</v>
      </c>
      <c r="W53">
        <v>0.80950860003940694</v>
      </c>
      <c r="X53" t="s">
        <v>33</v>
      </c>
      <c r="Y53" t="s">
        <v>34</v>
      </c>
      <c r="Z53">
        <v>1</v>
      </c>
      <c r="AA53" t="s">
        <v>35</v>
      </c>
      <c r="AB53" t="s">
        <v>36</v>
      </c>
      <c r="AD53" t="s">
        <v>37</v>
      </c>
      <c r="AE53">
        <v>59.9962442344506</v>
      </c>
      <c r="AF53" t="s">
        <v>38</v>
      </c>
    </row>
    <row r="54" spans="1:32" x14ac:dyDescent="0.25">
      <c r="A54">
        <v>40</v>
      </c>
      <c r="B54">
        <v>55</v>
      </c>
      <c r="C54">
        <v>62</v>
      </c>
      <c r="D54">
        <v>52</v>
      </c>
      <c r="E54">
        <v>3</v>
      </c>
      <c r="F54">
        <v>7</v>
      </c>
      <c r="G54" t="s">
        <v>39</v>
      </c>
      <c r="H54">
        <v>0.37662070000078501</v>
      </c>
      <c r="I54" t="s">
        <v>33</v>
      </c>
      <c r="J54">
        <v>7</v>
      </c>
      <c r="K54">
        <v>3</v>
      </c>
      <c r="L54">
        <v>52</v>
      </c>
      <c r="M54">
        <v>3</v>
      </c>
      <c r="N54">
        <v>93.037506200023898</v>
      </c>
      <c r="P54">
        <v>93.0264455000287</v>
      </c>
      <c r="Q54">
        <v>93.037506200023898</v>
      </c>
      <c r="R54">
        <v>94.020856800023395</v>
      </c>
      <c r="S54">
        <v>94.020856800023395</v>
      </c>
      <c r="T54">
        <v>94.037864800018696</v>
      </c>
      <c r="U54">
        <v>94.409148200007607</v>
      </c>
      <c r="V54" t="s">
        <v>39</v>
      </c>
      <c r="W54">
        <v>0.37662070000078501</v>
      </c>
      <c r="X54" t="s">
        <v>33</v>
      </c>
      <c r="Y54" t="s">
        <v>34</v>
      </c>
      <c r="Z54">
        <v>1</v>
      </c>
      <c r="AA54" t="s">
        <v>35</v>
      </c>
      <c r="AB54" t="s">
        <v>36</v>
      </c>
      <c r="AD54" t="s">
        <v>37</v>
      </c>
      <c r="AE54">
        <v>59.9962442344506</v>
      </c>
      <c r="AF54" t="s">
        <v>38</v>
      </c>
    </row>
    <row r="55" spans="1:32" x14ac:dyDescent="0.25">
      <c r="A55">
        <v>67</v>
      </c>
      <c r="B55">
        <v>75</v>
      </c>
      <c r="C55">
        <v>119</v>
      </c>
      <c r="D55">
        <v>53</v>
      </c>
      <c r="E55">
        <v>4</v>
      </c>
      <c r="F55">
        <v>7</v>
      </c>
      <c r="G55" t="s">
        <v>39</v>
      </c>
      <c r="H55">
        <v>0.56298500002594598</v>
      </c>
      <c r="I55" t="s">
        <v>33</v>
      </c>
      <c r="J55">
        <v>7</v>
      </c>
      <c r="K55">
        <v>4</v>
      </c>
      <c r="L55">
        <v>53</v>
      </c>
      <c r="M55">
        <v>5</v>
      </c>
      <c r="N55">
        <v>94.432994200033093</v>
      </c>
      <c r="P55">
        <v>94.428467700024996</v>
      </c>
      <c r="Q55">
        <v>94.432994200033093</v>
      </c>
      <c r="R55">
        <v>95.422245200024904</v>
      </c>
      <c r="S55">
        <v>95.422245200024904</v>
      </c>
      <c r="T55">
        <v>95.438848700025105</v>
      </c>
      <c r="U55">
        <v>95.992534000019006</v>
      </c>
      <c r="V55" t="s">
        <v>39</v>
      </c>
      <c r="W55">
        <v>0.56298500002594598</v>
      </c>
      <c r="X55" t="s">
        <v>33</v>
      </c>
      <c r="Y55" t="s">
        <v>34</v>
      </c>
      <c r="Z55">
        <v>1</v>
      </c>
      <c r="AA55" t="s">
        <v>35</v>
      </c>
      <c r="AB55" t="s">
        <v>36</v>
      </c>
      <c r="AD55" t="s">
        <v>37</v>
      </c>
      <c r="AE55">
        <v>59.9962442344506</v>
      </c>
      <c r="AF55" t="s">
        <v>38</v>
      </c>
    </row>
    <row r="56" spans="1:32" x14ac:dyDescent="0.25">
      <c r="A56">
        <v>49</v>
      </c>
      <c r="B56">
        <v>60</v>
      </c>
      <c r="C56">
        <v>89</v>
      </c>
      <c r="D56">
        <v>54</v>
      </c>
      <c r="E56">
        <v>5</v>
      </c>
      <c r="F56">
        <v>7</v>
      </c>
      <c r="G56" t="s">
        <v>32</v>
      </c>
      <c r="H56">
        <v>0.35596790001727602</v>
      </c>
      <c r="I56" t="s">
        <v>33</v>
      </c>
      <c r="J56">
        <v>7</v>
      </c>
      <c r="K56">
        <v>5</v>
      </c>
      <c r="L56">
        <v>54</v>
      </c>
      <c r="M56">
        <v>4</v>
      </c>
      <c r="N56">
        <v>96.020118900050804</v>
      </c>
      <c r="P56">
        <v>96.012746500025898</v>
      </c>
      <c r="Q56">
        <v>96.020118900050804</v>
      </c>
      <c r="R56">
        <v>97.004998999996999</v>
      </c>
      <c r="S56">
        <v>97.004998999996999</v>
      </c>
      <c r="T56">
        <v>97.021702099998905</v>
      </c>
      <c r="U56">
        <v>97.371056900010402</v>
      </c>
      <c r="V56" t="s">
        <v>32</v>
      </c>
      <c r="W56">
        <v>0.35596790001727602</v>
      </c>
      <c r="X56" t="s">
        <v>33</v>
      </c>
      <c r="Y56" t="s">
        <v>34</v>
      </c>
      <c r="Z56">
        <v>1</v>
      </c>
      <c r="AA56" t="s">
        <v>35</v>
      </c>
      <c r="AB56" t="s">
        <v>36</v>
      </c>
      <c r="AD56" t="s">
        <v>37</v>
      </c>
      <c r="AE56">
        <v>59.9962442344506</v>
      </c>
      <c r="AF56" t="s">
        <v>38</v>
      </c>
    </row>
    <row r="57" spans="1:32" x14ac:dyDescent="0.25">
      <c r="A57">
        <v>78</v>
      </c>
      <c r="B57">
        <v>80</v>
      </c>
      <c r="C57">
        <v>162</v>
      </c>
      <c r="D57">
        <v>55</v>
      </c>
      <c r="E57">
        <v>6</v>
      </c>
      <c r="F57">
        <v>7</v>
      </c>
      <c r="G57" t="s">
        <v>32</v>
      </c>
      <c r="H57">
        <v>0.66686330002266903</v>
      </c>
      <c r="I57" t="s">
        <v>33</v>
      </c>
      <c r="J57">
        <v>7</v>
      </c>
      <c r="K57">
        <v>6</v>
      </c>
      <c r="L57">
        <v>55</v>
      </c>
      <c r="M57">
        <v>6</v>
      </c>
      <c r="N57">
        <v>97.387254900007903</v>
      </c>
      <c r="P57">
        <v>97.377395600022197</v>
      </c>
      <c r="Q57">
        <v>97.387254900007903</v>
      </c>
      <c r="R57">
        <v>98.370174700044998</v>
      </c>
      <c r="S57">
        <v>98.370174700044998</v>
      </c>
      <c r="T57">
        <v>98.387572400039005</v>
      </c>
      <c r="U57">
        <v>99.054046900011599</v>
      </c>
      <c r="V57" t="s">
        <v>32</v>
      </c>
      <c r="W57">
        <v>0.66686330002266903</v>
      </c>
      <c r="X57" t="s">
        <v>33</v>
      </c>
      <c r="Y57" t="s">
        <v>34</v>
      </c>
      <c r="Z57">
        <v>1</v>
      </c>
      <c r="AA57" t="s">
        <v>35</v>
      </c>
      <c r="AB57" t="s">
        <v>36</v>
      </c>
      <c r="AD57" t="s">
        <v>37</v>
      </c>
      <c r="AE57">
        <v>59.9962442344506</v>
      </c>
      <c r="AF57" t="s">
        <v>38</v>
      </c>
    </row>
    <row r="58" spans="1:32" x14ac:dyDescent="0.25">
      <c r="A58">
        <v>49</v>
      </c>
      <c r="B58">
        <v>60</v>
      </c>
      <c r="C58">
        <v>89</v>
      </c>
      <c r="D58">
        <v>56</v>
      </c>
      <c r="E58">
        <v>0</v>
      </c>
      <c r="F58">
        <v>8</v>
      </c>
      <c r="G58" t="s">
        <v>39</v>
      </c>
      <c r="H58">
        <v>1.1753480999614101</v>
      </c>
      <c r="I58" t="s">
        <v>33</v>
      </c>
      <c r="J58">
        <v>8</v>
      </c>
      <c r="K58">
        <v>0</v>
      </c>
      <c r="L58">
        <v>56</v>
      </c>
      <c r="M58">
        <v>4</v>
      </c>
      <c r="N58">
        <v>99.070005100045805</v>
      </c>
      <c r="P58">
        <v>99.058607100043403</v>
      </c>
      <c r="Q58">
        <v>99.070005100045805</v>
      </c>
      <c r="R58">
        <v>100.05547750002</v>
      </c>
      <c r="S58">
        <v>100.05547750002</v>
      </c>
      <c r="T58">
        <v>100.072108000051</v>
      </c>
      <c r="U58">
        <v>101.242610800021</v>
      </c>
      <c r="V58" t="s">
        <v>39</v>
      </c>
      <c r="W58">
        <v>1.1753480999614101</v>
      </c>
      <c r="X58" t="s">
        <v>33</v>
      </c>
      <c r="Y58" t="s">
        <v>34</v>
      </c>
      <c r="Z58">
        <v>1</v>
      </c>
      <c r="AA58" t="s">
        <v>35</v>
      </c>
      <c r="AB58" t="s">
        <v>36</v>
      </c>
      <c r="AD58" t="s">
        <v>37</v>
      </c>
      <c r="AE58">
        <v>59.9962442344506</v>
      </c>
      <c r="AF58" t="s">
        <v>38</v>
      </c>
    </row>
    <row r="59" spans="1:32" x14ac:dyDescent="0.25">
      <c r="A59">
        <v>11</v>
      </c>
      <c r="B59">
        <v>30</v>
      </c>
      <c r="C59">
        <v>7</v>
      </c>
      <c r="D59">
        <v>57</v>
      </c>
      <c r="E59">
        <v>1</v>
      </c>
      <c r="F59">
        <v>8</v>
      </c>
      <c r="G59" t="s">
        <v>32</v>
      </c>
      <c r="H59">
        <v>0.62021589995129001</v>
      </c>
      <c r="I59" t="s">
        <v>33</v>
      </c>
      <c r="J59">
        <v>8</v>
      </c>
      <c r="K59">
        <v>1</v>
      </c>
      <c r="L59">
        <v>57</v>
      </c>
      <c r="M59">
        <v>0</v>
      </c>
      <c r="N59">
        <v>101.269407600048</v>
      </c>
      <c r="P59">
        <v>101.264336300024</v>
      </c>
      <c r="Q59">
        <v>101.269407600048</v>
      </c>
      <c r="R59">
        <v>102.256146700005</v>
      </c>
      <c r="S59">
        <v>102.256146700005</v>
      </c>
      <c r="T59">
        <v>102.272368600009</v>
      </c>
      <c r="U59">
        <v>102.88941090001001</v>
      </c>
      <c r="V59" t="s">
        <v>32</v>
      </c>
      <c r="W59">
        <v>0.62021589995129001</v>
      </c>
      <c r="X59" t="s">
        <v>33</v>
      </c>
      <c r="Y59" t="s">
        <v>34</v>
      </c>
      <c r="Z59">
        <v>1</v>
      </c>
      <c r="AA59" t="s">
        <v>35</v>
      </c>
      <c r="AB59" t="s">
        <v>36</v>
      </c>
      <c r="AD59" t="s">
        <v>37</v>
      </c>
      <c r="AE59">
        <v>59.9962442344506</v>
      </c>
      <c r="AF59" t="s">
        <v>38</v>
      </c>
    </row>
    <row r="60" spans="1:32" x14ac:dyDescent="0.25">
      <c r="A60">
        <v>15</v>
      </c>
      <c r="B60">
        <v>35</v>
      </c>
      <c r="C60">
        <v>13</v>
      </c>
      <c r="D60">
        <v>58</v>
      </c>
      <c r="E60">
        <v>2</v>
      </c>
      <c r="F60">
        <v>8</v>
      </c>
      <c r="G60" t="s">
        <v>39</v>
      </c>
      <c r="H60">
        <v>0.29240590002154898</v>
      </c>
      <c r="I60" t="s">
        <v>33</v>
      </c>
      <c r="J60">
        <v>8</v>
      </c>
      <c r="K60">
        <v>2</v>
      </c>
      <c r="L60">
        <v>58</v>
      </c>
      <c r="M60">
        <v>1</v>
      </c>
      <c r="N60">
        <v>102.904332200007</v>
      </c>
      <c r="P60">
        <v>102.896957400022</v>
      </c>
      <c r="Q60">
        <v>102.904332200007</v>
      </c>
      <c r="R60">
        <v>103.889520300028</v>
      </c>
      <c r="S60">
        <v>103.889520300028</v>
      </c>
      <c r="T60">
        <v>103.90623910003301</v>
      </c>
      <c r="U60">
        <v>104.19253850000599</v>
      </c>
      <c r="V60" t="s">
        <v>39</v>
      </c>
      <c r="W60">
        <v>0.29240590002154898</v>
      </c>
      <c r="X60" t="s">
        <v>33</v>
      </c>
      <c r="Y60" t="s">
        <v>34</v>
      </c>
      <c r="Z60">
        <v>1</v>
      </c>
      <c r="AA60" t="s">
        <v>35</v>
      </c>
      <c r="AB60" t="s">
        <v>36</v>
      </c>
      <c r="AD60" t="s">
        <v>37</v>
      </c>
      <c r="AE60">
        <v>59.9962442344506</v>
      </c>
      <c r="AF60" t="s">
        <v>38</v>
      </c>
    </row>
    <row r="61" spans="1:32" x14ac:dyDescent="0.25">
      <c r="A61">
        <v>27</v>
      </c>
      <c r="B61">
        <v>50</v>
      </c>
      <c r="C61">
        <v>21</v>
      </c>
      <c r="D61">
        <v>59</v>
      </c>
      <c r="E61">
        <v>3</v>
      </c>
      <c r="F61">
        <v>8</v>
      </c>
      <c r="G61" t="s">
        <v>32</v>
      </c>
      <c r="H61">
        <v>0.45664079999551099</v>
      </c>
      <c r="I61" t="s">
        <v>33</v>
      </c>
      <c r="J61">
        <v>8</v>
      </c>
      <c r="K61">
        <v>3</v>
      </c>
      <c r="L61">
        <v>59</v>
      </c>
      <c r="M61">
        <v>2</v>
      </c>
      <c r="N61">
        <v>104.217026200029</v>
      </c>
      <c r="P61">
        <v>104.212040500016</v>
      </c>
      <c r="Q61">
        <v>104.217026200029</v>
      </c>
      <c r="R61">
        <v>105.20420209999401</v>
      </c>
      <c r="S61">
        <v>105.20420209999401</v>
      </c>
      <c r="T61">
        <v>105.22150340000999</v>
      </c>
      <c r="U61">
        <v>105.671424300002</v>
      </c>
      <c r="V61" t="s">
        <v>32</v>
      </c>
      <c r="W61">
        <v>0.45664079999551099</v>
      </c>
      <c r="X61" t="s">
        <v>33</v>
      </c>
      <c r="Y61" t="s">
        <v>34</v>
      </c>
      <c r="Z61">
        <v>1</v>
      </c>
      <c r="AA61" t="s">
        <v>35</v>
      </c>
      <c r="AB61" t="s">
        <v>36</v>
      </c>
      <c r="AD61" t="s">
        <v>37</v>
      </c>
      <c r="AE61">
        <v>59.9962442344506</v>
      </c>
      <c r="AF61" t="s">
        <v>38</v>
      </c>
    </row>
    <row r="62" spans="1:32" x14ac:dyDescent="0.25">
      <c r="A62">
        <v>67</v>
      </c>
      <c r="B62">
        <v>75</v>
      </c>
      <c r="C62">
        <v>119</v>
      </c>
      <c r="D62">
        <v>60</v>
      </c>
      <c r="E62">
        <v>4</v>
      </c>
      <c r="F62">
        <v>8</v>
      </c>
      <c r="G62" t="s">
        <v>39</v>
      </c>
      <c r="H62">
        <v>0.26177400001324702</v>
      </c>
      <c r="I62" t="s">
        <v>33</v>
      </c>
      <c r="J62">
        <v>8</v>
      </c>
      <c r="K62">
        <v>4</v>
      </c>
      <c r="L62">
        <v>60</v>
      </c>
      <c r="M62">
        <v>5</v>
      </c>
      <c r="N62">
        <v>105.688063200039</v>
      </c>
      <c r="P62">
        <v>105.67819020000699</v>
      </c>
      <c r="Q62">
        <v>105.688063200039</v>
      </c>
      <c r="R62">
        <v>106.67288800003</v>
      </c>
      <c r="S62">
        <v>106.67288800003</v>
      </c>
      <c r="T62">
        <v>106.68923430005</v>
      </c>
      <c r="U62">
        <v>106.940674300014</v>
      </c>
      <c r="V62" t="s">
        <v>39</v>
      </c>
      <c r="W62">
        <v>0.26177400001324702</v>
      </c>
      <c r="X62" t="s">
        <v>33</v>
      </c>
      <c r="Y62" t="s">
        <v>34</v>
      </c>
      <c r="Z62">
        <v>1</v>
      </c>
      <c r="AA62" t="s">
        <v>35</v>
      </c>
      <c r="AB62" t="s">
        <v>36</v>
      </c>
      <c r="AD62" t="s">
        <v>37</v>
      </c>
      <c r="AE62">
        <v>59.9962442344506</v>
      </c>
      <c r="AF62" t="s">
        <v>38</v>
      </c>
    </row>
    <row r="63" spans="1:32" x14ac:dyDescent="0.25">
      <c r="A63">
        <v>78</v>
      </c>
      <c r="B63">
        <v>80</v>
      </c>
      <c r="C63">
        <v>162</v>
      </c>
      <c r="D63">
        <v>61</v>
      </c>
      <c r="E63">
        <v>5</v>
      </c>
      <c r="F63">
        <v>8</v>
      </c>
      <c r="G63" t="s">
        <v>32</v>
      </c>
      <c r="H63">
        <v>0.39724070002557699</v>
      </c>
      <c r="I63" t="s">
        <v>33</v>
      </c>
      <c r="J63">
        <v>8</v>
      </c>
      <c r="K63">
        <v>5</v>
      </c>
      <c r="L63">
        <v>61</v>
      </c>
      <c r="M63">
        <v>6</v>
      </c>
      <c r="N63">
        <v>106.957401900028</v>
      </c>
      <c r="P63">
        <v>106.95179390005001</v>
      </c>
      <c r="Q63">
        <v>106.957401900028</v>
      </c>
      <c r="R63">
        <v>107.939166800002</v>
      </c>
      <c r="S63">
        <v>107.939166800002</v>
      </c>
      <c r="T63">
        <v>107.972481400007</v>
      </c>
      <c r="U63">
        <v>108.340363800001</v>
      </c>
      <c r="V63" t="s">
        <v>32</v>
      </c>
      <c r="W63">
        <v>0.39724070002557699</v>
      </c>
      <c r="X63" t="s">
        <v>33</v>
      </c>
      <c r="Y63" t="s">
        <v>34</v>
      </c>
      <c r="Z63">
        <v>1</v>
      </c>
      <c r="AA63" t="s">
        <v>35</v>
      </c>
      <c r="AB63" t="s">
        <v>36</v>
      </c>
      <c r="AD63" t="s">
        <v>37</v>
      </c>
      <c r="AE63">
        <v>59.9962442344506</v>
      </c>
      <c r="AF63" t="s">
        <v>38</v>
      </c>
    </row>
    <row r="64" spans="1:32" x14ac:dyDescent="0.25">
      <c r="A64">
        <v>40</v>
      </c>
      <c r="B64">
        <v>55</v>
      </c>
      <c r="C64">
        <v>62</v>
      </c>
      <c r="D64">
        <v>62</v>
      </c>
      <c r="E64">
        <v>6</v>
      </c>
      <c r="F64">
        <v>8</v>
      </c>
      <c r="G64" t="s">
        <v>39</v>
      </c>
      <c r="H64">
        <v>0.289682100003119</v>
      </c>
      <c r="I64" t="s">
        <v>33</v>
      </c>
      <c r="J64">
        <v>8</v>
      </c>
      <c r="K64">
        <v>6</v>
      </c>
      <c r="L64">
        <v>62</v>
      </c>
      <c r="M64">
        <v>3</v>
      </c>
      <c r="N64">
        <v>108.35667639999799</v>
      </c>
      <c r="P64">
        <v>108.35067210003</v>
      </c>
      <c r="Q64">
        <v>108.35667639999799</v>
      </c>
      <c r="R64">
        <v>109.339552799996</v>
      </c>
      <c r="S64">
        <v>109.339552799996</v>
      </c>
      <c r="T64">
        <v>109.35644090001</v>
      </c>
      <c r="U64">
        <v>109.640196299995</v>
      </c>
      <c r="V64" t="s">
        <v>39</v>
      </c>
      <c r="W64">
        <v>0.289682100003119</v>
      </c>
      <c r="X64" t="s">
        <v>33</v>
      </c>
      <c r="Y64" t="s">
        <v>34</v>
      </c>
      <c r="Z64">
        <v>1</v>
      </c>
      <c r="AA64" t="s">
        <v>35</v>
      </c>
      <c r="AB64" t="s">
        <v>36</v>
      </c>
      <c r="AD64" t="s">
        <v>37</v>
      </c>
      <c r="AE64">
        <v>59.9962442344506</v>
      </c>
      <c r="AF64" t="s">
        <v>38</v>
      </c>
    </row>
    <row r="65" spans="1:32" x14ac:dyDescent="0.25">
      <c r="A65">
        <v>40</v>
      </c>
      <c r="B65">
        <v>55</v>
      </c>
      <c r="C65">
        <v>62</v>
      </c>
      <c r="D65">
        <v>63</v>
      </c>
      <c r="E65">
        <v>0</v>
      </c>
      <c r="F65">
        <v>9</v>
      </c>
      <c r="G65" t="s">
        <v>32</v>
      </c>
      <c r="H65">
        <v>0.46919199998956101</v>
      </c>
      <c r="I65" t="s">
        <v>33</v>
      </c>
      <c r="J65">
        <v>9</v>
      </c>
      <c r="K65">
        <v>0</v>
      </c>
      <c r="L65">
        <v>63</v>
      </c>
      <c r="M65">
        <v>3</v>
      </c>
      <c r="N65">
        <v>109.65573240001601</v>
      </c>
      <c r="P65">
        <v>109.640787600015</v>
      </c>
      <c r="Q65">
        <v>109.65573240001601</v>
      </c>
      <c r="R65">
        <v>110.637478600023</v>
      </c>
      <c r="S65">
        <v>110.637478600023</v>
      </c>
      <c r="T65">
        <v>110.672449500008</v>
      </c>
      <c r="U65">
        <v>111.123254100035</v>
      </c>
      <c r="V65" t="s">
        <v>32</v>
      </c>
      <c r="W65">
        <v>0.46919199998956101</v>
      </c>
      <c r="X65" t="s">
        <v>33</v>
      </c>
      <c r="Y65" t="s">
        <v>34</v>
      </c>
      <c r="Z65">
        <v>1</v>
      </c>
      <c r="AA65" t="s">
        <v>35</v>
      </c>
      <c r="AB65" t="s">
        <v>36</v>
      </c>
      <c r="AD65" t="s">
        <v>37</v>
      </c>
      <c r="AE65">
        <v>59.9962442344506</v>
      </c>
      <c r="AF65" t="s">
        <v>38</v>
      </c>
    </row>
    <row r="66" spans="1:32" x14ac:dyDescent="0.25">
      <c r="A66">
        <v>27</v>
      </c>
      <c r="B66">
        <v>50</v>
      </c>
      <c r="C66">
        <v>21</v>
      </c>
      <c r="D66">
        <v>64</v>
      </c>
      <c r="E66">
        <v>1</v>
      </c>
      <c r="F66">
        <v>9</v>
      </c>
      <c r="G66" t="s">
        <v>39</v>
      </c>
      <c r="H66">
        <v>0.35308729996904697</v>
      </c>
      <c r="I66" t="s">
        <v>33</v>
      </c>
      <c r="J66">
        <v>9</v>
      </c>
      <c r="K66">
        <v>1</v>
      </c>
      <c r="L66">
        <v>64</v>
      </c>
      <c r="M66">
        <v>2</v>
      </c>
      <c r="N66">
        <v>111.14025210001201</v>
      </c>
      <c r="P66">
        <v>111.135854499996</v>
      </c>
      <c r="Q66">
        <v>111.14025210001201</v>
      </c>
      <c r="R66">
        <v>112.124636100023</v>
      </c>
      <c r="S66">
        <v>112.124636100023</v>
      </c>
      <c r="T66">
        <v>112.142038400052</v>
      </c>
      <c r="U66">
        <v>112.489581100002</v>
      </c>
      <c r="V66" t="s">
        <v>39</v>
      </c>
      <c r="W66">
        <v>0.35308729996904697</v>
      </c>
      <c r="X66" t="s">
        <v>33</v>
      </c>
      <c r="Y66" t="s">
        <v>34</v>
      </c>
      <c r="Z66">
        <v>1</v>
      </c>
      <c r="AA66" t="s">
        <v>35</v>
      </c>
      <c r="AB66" t="s">
        <v>36</v>
      </c>
      <c r="AD66" t="s">
        <v>37</v>
      </c>
      <c r="AE66">
        <v>59.9962442344506</v>
      </c>
      <c r="AF66" t="s">
        <v>38</v>
      </c>
    </row>
    <row r="67" spans="1:32" x14ac:dyDescent="0.25">
      <c r="A67">
        <v>49</v>
      </c>
      <c r="B67">
        <v>60</v>
      </c>
      <c r="C67">
        <v>89</v>
      </c>
      <c r="D67">
        <v>65</v>
      </c>
      <c r="E67">
        <v>2</v>
      </c>
      <c r="F67">
        <v>9</v>
      </c>
      <c r="G67" t="s">
        <v>39</v>
      </c>
      <c r="H67">
        <v>0.880996500025503</v>
      </c>
      <c r="I67" t="s">
        <v>33</v>
      </c>
      <c r="J67">
        <v>9</v>
      </c>
      <c r="K67">
        <v>2</v>
      </c>
      <c r="L67">
        <v>65</v>
      </c>
      <c r="M67">
        <v>4</v>
      </c>
      <c r="N67">
        <v>112.505870799999</v>
      </c>
      <c r="P67">
        <v>112.49928800005</v>
      </c>
      <c r="Q67">
        <v>112.505870799999</v>
      </c>
      <c r="R67">
        <v>113.504187500046</v>
      </c>
      <c r="S67">
        <v>113.504187500046</v>
      </c>
      <c r="T67">
        <v>113.52141370001399</v>
      </c>
      <c r="U67">
        <v>114.38845560001199</v>
      </c>
      <c r="V67" t="s">
        <v>39</v>
      </c>
      <c r="W67">
        <v>0.880996500025503</v>
      </c>
      <c r="X67" t="s">
        <v>33</v>
      </c>
      <c r="Y67" t="s">
        <v>34</v>
      </c>
      <c r="Z67">
        <v>1</v>
      </c>
      <c r="AA67" t="s">
        <v>35</v>
      </c>
      <c r="AB67" t="s">
        <v>36</v>
      </c>
      <c r="AD67" t="s">
        <v>37</v>
      </c>
      <c r="AE67">
        <v>59.9962442344506</v>
      </c>
      <c r="AF67" t="s">
        <v>38</v>
      </c>
    </row>
    <row r="68" spans="1:32" x14ac:dyDescent="0.25">
      <c r="A68">
        <v>78</v>
      </c>
      <c r="B68">
        <v>80</v>
      </c>
      <c r="C68">
        <v>162</v>
      </c>
      <c r="D68">
        <v>66</v>
      </c>
      <c r="E68">
        <v>3</v>
      </c>
      <c r="F68">
        <v>9</v>
      </c>
      <c r="G68" t="s">
        <v>32</v>
      </c>
      <c r="H68">
        <v>0.388313499977812</v>
      </c>
      <c r="I68" t="s">
        <v>33</v>
      </c>
      <c r="J68">
        <v>9</v>
      </c>
      <c r="K68">
        <v>3</v>
      </c>
      <c r="L68">
        <v>66</v>
      </c>
      <c r="M68">
        <v>6</v>
      </c>
      <c r="N68">
        <v>114.404249400016</v>
      </c>
      <c r="P68">
        <v>114.395061100018</v>
      </c>
      <c r="Q68">
        <v>114.404249400016</v>
      </c>
      <c r="R68">
        <v>115.38814069999999</v>
      </c>
      <c r="S68">
        <v>115.38814069999999</v>
      </c>
      <c r="T68">
        <v>115.404330599994</v>
      </c>
      <c r="U68">
        <v>115.788530400022</v>
      </c>
      <c r="V68" t="s">
        <v>32</v>
      </c>
      <c r="W68">
        <v>0.388313499977812</v>
      </c>
      <c r="X68" t="s">
        <v>33</v>
      </c>
      <c r="Y68" t="s">
        <v>34</v>
      </c>
      <c r="Z68">
        <v>1</v>
      </c>
      <c r="AA68" t="s">
        <v>35</v>
      </c>
      <c r="AB68" t="s">
        <v>36</v>
      </c>
      <c r="AD68" t="s">
        <v>37</v>
      </c>
      <c r="AE68">
        <v>59.9962442344506</v>
      </c>
      <c r="AF68" t="s">
        <v>38</v>
      </c>
    </row>
    <row r="69" spans="1:32" x14ac:dyDescent="0.25">
      <c r="A69">
        <v>15</v>
      </c>
      <c r="B69">
        <v>35</v>
      </c>
      <c r="C69">
        <v>13</v>
      </c>
      <c r="D69">
        <v>67</v>
      </c>
      <c r="E69">
        <v>4</v>
      </c>
      <c r="F69">
        <v>9</v>
      </c>
      <c r="G69" t="s">
        <v>32</v>
      </c>
      <c r="H69">
        <v>0.412037099944427</v>
      </c>
      <c r="I69" t="s">
        <v>33</v>
      </c>
      <c r="J69">
        <v>9</v>
      </c>
      <c r="K69">
        <v>4</v>
      </c>
      <c r="L69">
        <v>67</v>
      </c>
      <c r="M69">
        <v>1</v>
      </c>
      <c r="N69">
        <v>115.80407790001399</v>
      </c>
      <c r="P69">
        <v>115.794389400049</v>
      </c>
      <c r="Q69">
        <v>115.80407790001399</v>
      </c>
      <c r="R69">
        <v>116.792267400014</v>
      </c>
      <c r="S69">
        <v>116.792267400014</v>
      </c>
      <c r="T69">
        <v>116.80826310004301</v>
      </c>
      <c r="U69">
        <v>117.20605500001599</v>
      </c>
      <c r="V69" t="s">
        <v>32</v>
      </c>
      <c r="W69">
        <v>0.412037099944427</v>
      </c>
      <c r="X69" t="s">
        <v>33</v>
      </c>
      <c r="Y69" t="s">
        <v>34</v>
      </c>
      <c r="Z69">
        <v>1</v>
      </c>
      <c r="AA69" t="s">
        <v>35</v>
      </c>
      <c r="AB69" t="s">
        <v>36</v>
      </c>
      <c r="AD69" t="s">
        <v>37</v>
      </c>
      <c r="AE69">
        <v>59.9962442344506</v>
      </c>
      <c r="AF69" t="s">
        <v>38</v>
      </c>
    </row>
    <row r="70" spans="1:32" x14ac:dyDescent="0.25">
      <c r="A70">
        <v>11</v>
      </c>
      <c r="B70">
        <v>30</v>
      </c>
      <c r="C70">
        <v>7</v>
      </c>
      <c r="D70">
        <v>68</v>
      </c>
      <c r="E70">
        <v>5</v>
      </c>
      <c r="F70">
        <v>9</v>
      </c>
      <c r="G70" t="s">
        <v>32</v>
      </c>
      <c r="H70">
        <v>0.65082620002795</v>
      </c>
      <c r="I70" t="s">
        <v>33</v>
      </c>
      <c r="J70">
        <v>9</v>
      </c>
      <c r="K70">
        <v>5</v>
      </c>
      <c r="L70">
        <v>68</v>
      </c>
      <c r="M70">
        <v>0</v>
      </c>
      <c r="N70">
        <v>117.222768800042</v>
      </c>
      <c r="P70">
        <v>117.215420700027</v>
      </c>
      <c r="Q70">
        <v>117.222768800042</v>
      </c>
      <c r="R70">
        <v>118.205582700029</v>
      </c>
      <c r="S70">
        <v>118.205582700029</v>
      </c>
      <c r="T70">
        <v>118.222262900031</v>
      </c>
      <c r="U70">
        <v>118.860348200018</v>
      </c>
      <c r="V70" t="s">
        <v>32</v>
      </c>
      <c r="W70">
        <v>0.65082620002795</v>
      </c>
      <c r="X70" t="s">
        <v>33</v>
      </c>
      <c r="Y70" t="s">
        <v>34</v>
      </c>
      <c r="Z70">
        <v>1</v>
      </c>
      <c r="AA70" t="s">
        <v>35</v>
      </c>
      <c r="AB70" t="s">
        <v>36</v>
      </c>
      <c r="AD70" t="s">
        <v>37</v>
      </c>
      <c r="AE70">
        <v>59.9962442344506</v>
      </c>
      <c r="AF70" t="s">
        <v>38</v>
      </c>
    </row>
    <row r="71" spans="1:32" x14ac:dyDescent="0.25">
      <c r="A71">
        <v>67</v>
      </c>
      <c r="B71">
        <v>75</v>
      </c>
      <c r="C71">
        <v>119</v>
      </c>
      <c r="D71">
        <v>69</v>
      </c>
      <c r="E71">
        <v>6</v>
      </c>
      <c r="F71">
        <v>9</v>
      </c>
      <c r="G71" t="s">
        <v>39</v>
      </c>
      <c r="H71">
        <v>1.4356166999786999</v>
      </c>
      <c r="I71" t="s">
        <v>33</v>
      </c>
      <c r="J71">
        <v>9</v>
      </c>
      <c r="K71">
        <v>6</v>
      </c>
      <c r="L71">
        <v>69</v>
      </c>
      <c r="M71">
        <v>5</v>
      </c>
      <c r="N71">
        <v>118.88281010003899</v>
      </c>
      <c r="P71">
        <v>118.87788650003399</v>
      </c>
      <c r="Q71">
        <v>118.88281010003899</v>
      </c>
      <c r="R71">
        <v>119.871438400004</v>
      </c>
      <c r="S71">
        <v>119.871438400004</v>
      </c>
      <c r="T71">
        <v>119.88842890004101</v>
      </c>
      <c r="U71">
        <v>121.32267870003101</v>
      </c>
      <c r="V71" t="s">
        <v>39</v>
      </c>
      <c r="W71">
        <v>1.4356166999786999</v>
      </c>
      <c r="X71" t="s">
        <v>33</v>
      </c>
      <c r="Y71" t="s">
        <v>34</v>
      </c>
      <c r="Z71">
        <v>1</v>
      </c>
      <c r="AA71" t="s">
        <v>35</v>
      </c>
      <c r="AB71" t="s">
        <v>36</v>
      </c>
      <c r="AD71" t="s">
        <v>37</v>
      </c>
      <c r="AE71">
        <v>59.9962442344506</v>
      </c>
      <c r="AF71" t="s">
        <v>38</v>
      </c>
    </row>
    <row r="72" spans="1:32" x14ac:dyDescent="0.25">
      <c r="A72">
        <v>78</v>
      </c>
      <c r="B72">
        <v>80</v>
      </c>
      <c r="C72">
        <v>162</v>
      </c>
      <c r="D72">
        <v>70</v>
      </c>
      <c r="E72">
        <v>0</v>
      </c>
      <c r="F72">
        <v>10</v>
      </c>
      <c r="G72" t="s">
        <v>39</v>
      </c>
      <c r="H72">
        <v>1.6230084000271701</v>
      </c>
      <c r="I72" t="s">
        <v>33</v>
      </c>
      <c r="J72">
        <v>10</v>
      </c>
      <c r="K72">
        <v>0</v>
      </c>
      <c r="L72">
        <v>70</v>
      </c>
      <c r="M72">
        <v>6</v>
      </c>
      <c r="N72">
        <v>121.338440600025</v>
      </c>
      <c r="P72">
        <v>121.330492600041</v>
      </c>
      <c r="Q72">
        <v>121.338440600025</v>
      </c>
      <c r="R72">
        <v>122.325100900023</v>
      </c>
      <c r="S72">
        <v>122.325100900023</v>
      </c>
      <c r="T72">
        <v>122.34046820003999</v>
      </c>
      <c r="U72">
        <v>123.955430500034</v>
      </c>
      <c r="V72" t="s">
        <v>39</v>
      </c>
      <c r="W72">
        <v>1.6230084000271701</v>
      </c>
      <c r="X72" t="s">
        <v>33</v>
      </c>
      <c r="Y72" t="s">
        <v>34</v>
      </c>
      <c r="Z72">
        <v>1</v>
      </c>
      <c r="AA72" t="s">
        <v>35</v>
      </c>
      <c r="AB72" t="s">
        <v>36</v>
      </c>
      <c r="AD72" t="s">
        <v>37</v>
      </c>
      <c r="AE72">
        <v>59.9962442344506</v>
      </c>
      <c r="AF72" t="s">
        <v>38</v>
      </c>
    </row>
    <row r="73" spans="1:32" x14ac:dyDescent="0.25">
      <c r="A73">
        <v>27</v>
      </c>
      <c r="B73">
        <v>50</v>
      </c>
      <c r="C73">
        <v>21</v>
      </c>
      <c r="D73">
        <v>71</v>
      </c>
      <c r="E73">
        <v>1</v>
      </c>
      <c r="F73">
        <v>10</v>
      </c>
      <c r="G73" t="s">
        <v>32</v>
      </c>
      <c r="H73">
        <v>0.63226030004443601</v>
      </c>
      <c r="I73" t="s">
        <v>33</v>
      </c>
      <c r="J73">
        <v>10</v>
      </c>
      <c r="K73">
        <v>1</v>
      </c>
      <c r="L73">
        <v>71</v>
      </c>
      <c r="M73">
        <v>2</v>
      </c>
      <c r="N73">
        <v>123.971646100049</v>
      </c>
      <c r="P73">
        <v>123.96435930003599</v>
      </c>
      <c r="Q73">
        <v>123.971646100049</v>
      </c>
      <c r="R73">
        <v>124.961482500017</v>
      </c>
      <c r="S73">
        <v>124.961482500017</v>
      </c>
      <c r="T73">
        <v>124.973483000008</v>
      </c>
      <c r="U73">
        <v>125.609248500026</v>
      </c>
      <c r="V73" t="s">
        <v>32</v>
      </c>
      <c r="W73">
        <v>0.63226030004443601</v>
      </c>
      <c r="X73" t="s">
        <v>33</v>
      </c>
      <c r="Y73" t="s">
        <v>34</v>
      </c>
      <c r="Z73">
        <v>1</v>
      </c>
      <c r="AA73" t="s">
        <v>35</v>
      </c>
      <c r="AB73" t="s">
        <v>36</v>
      </c>
      <c r="AD73" t="s">
        <v>37</v>
      </c>
      <c r="AE73">
        <v>59.9962442344506</v>
      </c>
      <c r="AF73" t="s">
        <v>38</v>
      </c>
    </row>
    <row r="74" spans="1:32" x14ac:dyDescent="0.25">
      <c r="A74">
        <v>15</v>
      </c>
      <c r="B74">
        <v>35</v>
      </c>
      <c r="C74">
        <v>13</v>
      </c>
      <c r="D74">
        <v>72</v>
      </c>
      <c r="E74">
        <v>2</v>
      </c>
      <c r="F74">
        <v>10</v>
      </c>
      <c r="G74" t="s">
        <v>32</v>
      </c>
      <c r="H74">
        <v>2.0659840000443999</v>
      </c>
      <c r="I74" t="s">
        <v>33</v>
      </c>
      <c r="J74">
        <v>10</v>
      </c>
      <c r="K74">
        <v>2</v>
      </c>
      <c r="L74">
        <v>72</v>
      </c>
      <c r="M74">
        <v>1</v>
      </c>
      <c r="N74">
        <v>125.632463900023</v>
      </c>
      <c r="P74">
        <v>125.628700100001</v>
      </c>
      <c r="Q74">
        <v>125.632463900023</v>
      </c>
      <c r="R74">
        <v>126.62183940003101</v>
      </c>
      <c r="S74">
        <v>126.62183940003101</v>
      </c>
      <c r="T74">
        <v>126.637540000025</v>
      </c>
      <c r="U74">
        <v>128.68882490001801</v>
      </c>
      <c r="V74" t="s">
        <v>32</v>
      </c>
      <c r="W74">
        <v>2.0659840000443999</v>
      </c>
      <c r="X74" t="s">
        <v>33</v>
      </c>
      <c r="Y74" t="s">
        <v>34</v>
      </c>
      <c r="Z74">
        <v>1</v>
      </c>
      <c r="AA74" t="s">
        <v>35</v>
      </c>
      <c r="AB74" t="s">
        <v>36</v>
      </c>
      <c r="AD74" t="s">
        <v>37</v>
      </c>
      <c r="AE74">
        <v>59.9962442344506</v>
      </c>
      <c r="AF74" t="s">
        <v>38</v>
      </c>
    </row>
    <row r="75" spans="1:32" x14ac:dyDescent="0.25">
      <c r="A75">
        <v>11</v>
      </c>
      <c r="B75">
        <v>30</v>
      </c>
      <c r="C75">
        <v>7</v>
      </c>
      <c r="D75">
        <v>73</v>
      </c>
      <c r="E75">
        <v>3</v>
      </c>
      <c r="F75">
        <v>10</v>
      </c>
      <c r="G75" t="s">
        <v>39</v>
      </c>
      <c r="H75">
        <v>3.6442714000004299</v>
      </c>
      <c r="I75" t="s">
        <v>33</v>
      </c>
      <c r="J75">
        <v>10</v>
      </c>
      <c r="K75">
        <v>3</v>
      </c>
      <c r="L75">
        <v>73</v>
      </c>
      <c r="M75">
        <v>0</v>
      </c>
      <c r="N75">
        <v>128.704089400009</v>
      </c>
      <c r="P75">
        <v>128.69360220001499</v>
      </c>
      <c r="Q75">
        <v>128.704089400009</v>
      </c>
      <c r="R75">
        <v>129.692537199996</v>
      </c>
      <c r="S75">
        <v>129.692537199996</v>
      </c>
      <c r="T75">
        <v>129.70877740002399</v>
      </c>
      <c r="U75">
        <v>133.34395460004399</v>
      </c>
      <c r="V75" t="s">
        <v>39</v>
      </c>
      <c r="W75">
        <v>3.6442714000004299</v>
      </c>
      <c r="X75" t="s">
        <v>33</v>
      </c>
      <c r="Y75" t="s">
        <v>34</v>
      </c>
      <c r="Z75">
        <v>1</v>
      </c>
      <c r="AA75" t="s">
        <v>35</v>
      </c>
      <c r="AB75" t="s">
        <v>36</v>
      </c>
      <c r="AD75" t="s">
        <v>37</v>
      </c>
      <c r="AE75">
        <v>59.9962442344506</v>
      </c>
      <c r="AF75" t="s">
        <v>38</v>
      </c>
    </row>
    <row r="76" spans="1:32" x14ac:dyDescent="0.25">
      <c r="A76">
        <v>67</v>
      </c>
      <c r="B76">
        <v>75</v>
      </c>
      <c r="C76">
        <v>119</v>
      </c>
      <c r="D76">
        <v>74</v>
      </c>
      <c r="E76">
        <v>4</v>
      </c>
      <c r="F76">
        <v>10</v>
      </c>
      <c r="G76" t="s">
        <v>39</v>
      </c>
      <c r="H76">
        <v>1.08204170002136</v>
      </c>
      <c r="I76" t="s">
        <v>33</v>
      </c>
      <c r="J76">
        <v>10</v>
      </c>
      <c r="K76">
        <v>4</v>
      </c>
      <c r="L76">
        <v>74</v>
      </c>
      <c r="M76">
        <v>5</v>
      </c>
      <c r="N76">
        <v>133.37045410001801</v>
      </c>
      <c r="P76">
        <v>133.364445300016</v>
      </c>
      <c r="Q76">
        <v>133.37045410001801</v>
      </c>
      <c r="R76">
        <v>134.35652180004399</v>
      </c>
      <c r="S76">
        <v>134.35652180004399</v>
      </c>
      <c r="T76">
        <v>134.37289230001599</v>
      </c>
      <c r="U76">
        <v>135.44639910000799</v>
      </c>
      <c r="V76" t="s">
        <v>39</v>
      </c>
      <c r="W76">
        <v>1.08204170002136</v>
      </c>
      <c r="X76" t="s">
        <v>33</v>
      </c>
      <c r="Y76" t="s">
        <v>34</v>
      </c>
      <c r="Z76">
        <v>1</v>
      </c>
      <c r="AA76" t="s">
        <v>35</v>
      </c>
      <c r="AB76" t="s">
        <v>36</v>
      </c>
      <c r="AD76" t="s">
        <v>37</v>
      </c>
      <c r="AE76">
        <v>59.9962442344506</v>
      </c>
      <c r="AF76" t="s">
        <v>38</v>
      </c>
    </row>
    <row r="77" spans="1:32" x14ac:dyDescent="0.25">
      <c r="A77">
        <v>49</v>
      </c>
      <c r="B77">
        <v>60</v>
      </c>
      <c r="C77">
        <v>89</v>
      </c>
      <c r="D77">
        <v>75</v>
      </c>
      <c r="E77">
        <v>5</v>
      </c>
      <c r="F77">
        <v>10</v>
      </c>
      <c r="G77" t="s">
        <v>32</v>
      </c>
      <c r="H77">
        <v>1.54975160001777</v>
      </c>
      <c r="I77" t="s">
        <v>33</v>
      </c>
      <c r="J77">
        <v>10</v>
      </c>
      <c r="K77">
        <v>5</v>
      </c>
      <c r="L77">
        <v>75</v>
      </c>
      <c r="M77">
        <v>4</v>
      </c>
      <c r="N77">
        <v>135.47075550002</v>
      </c>
      <c r="P77">
        <v>135.46569850004701</v>
      </c>
      <c r="Q77">
        <v>135.47075550002</v>
      </c>
      <c r="R77">
        <v>136.45468220004099</v>
      </c>
      <c r="S77">
        <v>136.45468220004099</v>
      </c>
      <c r="T77">
        <v>136.471414900035</v>
      </c>
      <c r="U77">
        <v>138.00498980004301</v>
      </c>
      <c r="V77" t="s">
        <v>32</v>
      </c>
      <c r="W77">
        <v>1.54975160001777</v>
      </c>
      <c r="X77" t="s">
        <v>33</v>
      </c>
      <c r="Y77" t="s">
        <v>34</v>
      </c>
      <c r="Z77">
        <v>1</v>
      </c>
      <c r="AA77" t="s">
        <v>35</v>
      </c>
      <c r="AB77" t="s">
        <v>36</v>
      </c>
      <c r="AD77" t="s">
        <v>37</v>
      </c>
      <c r="AE77">
        <v>59.9962442344506</v>
      </c>
      <c r="AF77" t="s">
        <v>38</v>
      </c>
    </row>
    <row r="78" spans="1:32" x14ac:dyDescent="0.25">
      <c r="A78">
        <v>40</v>
      </c>
      <c r="B78">
        <v>55</v>
      </c>
      <c r="C78">
        <v>62</v>
      </c>
      <c r="D78">
        <v>76</v>
      </c>
      <c r="E78">
        <v>6</v>
      </c>
      <c r="F78">
        <v>10</v>
      </c>
      <c r="G78" t="s">
        <v>32</v>
      </c>
      <c r="H78">
        <v>0.58070359996054299</v>
      </c>
      <c r="I78" t="s">
        <v>33</v>
      </c>
      <c r="J78">
        <v>10</v>
      </c>
      <c r="K78">
        <v>6</v>
      </c>
      <c r="L78">
        <v>76</v>
      </c>
      <c r="M78">
        <v>3</v>
      </c>
      <c r="N78">
        <v>138.02218420000199</v>
      </c>
      <c r="P78">
        <v>138.01080260000799</v>
      </c>
      <c r="Q78">
        <v>138.02218420000199</v>
      </c>
      <c r="R78">
        <v>139.00616690004199</v>
      </c>
      <c r="S78">
        <v>139.00616690004199</v>
      </c>
      <c r="T78">
        <v>139.024220200022</v>
      </c>
      <c r="U78">
        <v>139.590789000038</v>
      </c>
      <c r="V78" t="s">
        <v>32</v>
      </c>
      <c r="W78">
        <v>0.58070359996054299</v>
      </c>
      <c r="X78" t="s">
        <v>33</v>
      </c>
      <c r="Y78" t="s">
        <v>34</v>
      </c>
      <c r="Z78">
        <v>1</v>
      </c>
      <c r="AA78" t="s">
        <v>35</v>
      </c>
      <c r="AB78" t="s">
        <v>36</v>
      </c>
      <c r="AD78" t="s">
        <v>37</v>
      </c>
      <c r="AE78">
        <v>59.9962442344506</v>
      </c>
      <c r="AF78" t="s">
        <v>38</v>
      </c>
    </row>
    <row r="79" spans="1:32" x14ac:dyDescent="0.25">
      <c r="A79">
        <v>27</v>
      </c>
      <c r="B79">
        <v>50</v>
      </c>
      <c r="C79">
        <v>21</v>
      </c>
      <c r="D79">
        <v>77</v>
      </c>
      <c r="E79">
        <v>0</v>
      </c>
      <c r="F79">
        <v>11</v>
      </c>
      <c r="G79" t="s">
        <v>32</v>
      </c>
      <c r="H79">
        <v>0.35112369997659698</v>
      </c>
      <c r="I79" t="s">
        <v>33</v>
      </c>
      <c r="J79">
        <v>11</v>
      </c>
      <c r="K79">
        <v>0</v>
      </c>
      <c r="L79">
        <v>77</v>
      </c>
      <c r="M79">
        <v>2</v>
      </c>
      <c r="N79">
        <v>139.60703220003001</v>
      </c>
      <c r="P79">
        <v>139.600515400001</v>
      </c>
      <c r="Q79">
        <v>139.60703220003001</v>
      </c>
      <c r="R79">
        <v>140.605832900037</v>
      </c>
      <c r="S79">
        <v>140.605832900037</v>
      </c>
      <c r="T79">
        <v>140.62252810003699</v>
      </c>
      <c r="U79">
        <v>140.96123060001901</v>
      </c>
      <c r="V79" t="s">
        <v>32</v>
      </c>
      <c r="W79">
        <v>0.35112369997659698</v>
      </c>
      <c r="X79" t="s">
        <v>33</v>
      </c>
      <c r="Y79" t="s">
        <v>34</v>
      </c>
      <c r="Z79">
        <v>1</v>
      </c>
      <c r="AA79" t="s">
        <v>35</v>
      </c>
      <c r="AB79" t="s">
        <v>36</v>
      </c>
      <c r="AD79" t="s">
        <v>37</v>
      </c>
      <c r="AE79">
        <v>59.9962442344506</v>
      </c>
      <c r="AF79" t="s">
        <v>38</v>
      </c>
    </row>
    <row r="80" spans="1:32" x14ac:dyDescent="0.25">
      <c r="A80">
        <v>49</v>
      </c>
      <c r="B80">
        <v>60</v>
      </c>
      <c r="C80">
        <v>89</v>
      </c>
      <c r="D80">
        <v>78</v>
      </c>
      <c r="E80">
        <v>1</v>
      </c>
      <c r="F80">
        <v>11</v>
      </c>
      <c r="G80" t="s">
        <v>32</v>
      </c>
      <c r="H80">
        <v>0.61076630000025001</v>
      </c>
      <c r="I80" t="s">
        <v>33</v>
      </c>
      <c r="J80">
        <v>11</v>
      </c>
      <c r="K80">
        <v>1</v>
      </c>
      <c r="L80">
        <v>78</v>
      </c>
      <c r="M80">
        <v>4</v>
      </c>
      <c r="N80">
        <v>140.99106140004</v>
      </c>
      <c r="P80">
        <v>140.98566810000901</v>
      </c>
      <c r="Q80">
        <v>140.99106140004</v>
      </c>
      <c r="R80">
        <v>141.973988100013</v>
      </c>
      <c r="S80">
        <v>141.973988100013</v>
      </c>
      <c r="T80">
        <v>141.989531500032</v>
      </c>
      <c r="U80">
        <v>142.593385500018</v>
      </c>
      <c r="V80" t="s">
        <v>32</v>
      </c>
      <c r="W80">
        <v>0.61076630000025001</v>
      </c>
      <c r="X80" t="s">
        <v>33</v>
      </c>
      <c r="Y80" t="s">
        <v>34</v>
      </c>
      <c r="Z80">
        <v>1</v>
      </c>
      <c r="AA80" t="s">
        <v>35</v>
      </c>
      <c r="AB80" t="s">
        <v>36</v>
      </c>
      <c r="AD80" t="s">
        <v>37</v>
      </c>
      <c r="AE80">
        <v>59.9962442344506</v>
      </c>
      <c r="AF80" t="s">
        <v>38</v>
      </c>
    </row>
    <row r="81" spans="1:32" x14ac:dyDescent="0.25">
      <c r="A81">
        <v>78</v>
      </c>
      <c r="B81">
        <v>80</v>
      </c>
      <c r="C81">
        <v>162</v>
      </c>
      <c r="D81">
        <v>79</v>
      </c>
      <c r="E81">
        <v>2</v>
      </c>
      <c r="F81">
        <v>11</v>
      </c>
      <c r="G81" t="s">
        <v>32</v>
      </c>
      <c r="H81">
        <v>0.55041460000211295</v>
      </c>
      <c r="I81" t="s">
        <v>33</v>
      </c>
      <c r="J81">
        <v>11</v>
      </c>
      <c r="K81">
        <v>2</v>
      </c>
      <c r="L81">
        <v>79</v>
      </c>
      <c r="M81">
        <v>6</v>
      </c>
      <c r="N81">
        <v>142.61356080003301</v>
      </c>
      <c r="P81">
        <v>142.609357200039</v>
      </c>
      <c r="Q81">
        <v>142.61356080003301</v>
      </c>
      <c r="R81">
        <v>143.608558100007</v>
      </c>
      <c r="S81">
        <v>143.608558100007</v>
      </c>
      <c r="T81">
        <v>143.63088240002901</v>
      </c>
      <c r="U81">
        <v>144.17384020000401</v>
      </c>
      <c r="V81" t="s">
        <v>32</v>
      </c>
      <c r="W81">
        <v>0.55041460000211295</v>
      </c>
      <c r="X81" t="s">
        <v>33</v>
      </c>
      <c r="Y81" t="s">
        <v>34</v>
      </c>
      <c r="Z81">
        <v>1</v>
      </c>
      <c r="AA81" t="s">
        <v>35</v>
      </c>
      <c r="AB81" t="s">
        <v>36</v>
      </c>
      <c r="AD81" t="s">
        <v>37</v>
      </c>
      <c r="AE81">
        <v>59.9962442344506</v>
      </c>
      <c r="AF81" t="s">
        <v>38</v>
      </c>
    </row>
    <row r="82" spans="1:32" x14ac:dyDescent="0.25">
      <c r="A82">
        <v>15</v>
      </c>
      <c r="B82">
        <v>35</v>
      </c>
      <c r="C82">
        <v>13</v>
      </c>
      <c r="D82">
        <v>80</v>
      </c>
      <c r="E82">
        <v>3</v>
      </c>
      <c r="F82">
        <v>11</v>
      </c>
      <c r="G82" t="s">
        <v>39</v>
      </c>
      <c r="H82">
        <v>0.30093369999667602</v>
      </c>
      <c r="I82" t="s">
        <v>33</v>
      </c>
      <c r="J82">
        <v>11</v>
      </c>
      <c r="K82">
        <v>3</v>
      </c>
      <c r="L82">
        <v>80</v>
      </c>
      <c r="M82">
        <v>1</v>
      </c>
      <c r="N82">
        <v>144.19159630005001</v>
      </c>
      <c r="P82">
        <v>144.18564460001599</v>
      </c>
      <c r="Q82">
        <v>144.19159630005001</v>
      </c>
      <c r="R82">
        <v>145.17581240000399</v>
      </c>
      <c r="S82">
        <v>145.17581240000399</v>
      </c>
      <c r="T82">
        <v>145.19226690003401</v>
      </c>
      <c r="U82">
        <v>145.494002800027</v>
      </c>
      <c r="V82" t="s">
        <v>39</v>
      </c>
      <c r="W82">
        <v>0.30093369999667602</v>
      </c>
      <c r="X82" t="s">
        <v>33</v>
      </c>
      <c r="Y82" t="s">
        <v>34</v>
      </c>
      <c r="Z82">
        <v>1</v>
      </c>
      <c r="AA82" t="s">
        <v>35</v>
      </c>
      <c r="AB82" t="s">
        <v>36</v>
      </c>
      <c r="AD82" t="s">
        <v>37</v>
      </c>
      <c r="AE82">
        <v>59.9962442344506</v>
      </c>
      <c r="AF82" t="s">
        <v>38</v>
      </c>
    </row>
    <row r="83" spans="1:32" x14ac:dyDescent="0.25">
      <c r="A83">
        <v>67</v>
      </c>
      <c r="B83">
        <v>75</v>
      </c>
      <c r="C83">
        <v>119</v>
      </c>
      <c r="D83">
        <v>81</v>
      </c>
      <c r="E83">
        <v>4</v>
      </c>
      <c r="F83">
        <v>11</v>
      </c>
      <c r="G83" t="s">
        <v>39</v>
      </c>
      <c r="H83">
        <v>0.37462590000359303</v>
      </c>
      <c r="I83" t="s">
        <v>33</v>
      </c>
      <c r="J83">
        <v>11</v>
      </c>
      <c r="K83">
        <v>4</v>
      </c>
      <c r="L83">
        <v>81</v>
      </c>
      <c r="M83">
        <v>5</v>
      </c>
      <c r="N83">
        <v>145.52116649999499</v>
      </c>
      <c r="P83">
        <v>145.515990800049</v>
      </c>
      <c r="Q83">
        <v>145.52116649999499</v>
      </c>
      <c r="R83">
        <v>146.50514140003301</v>
      </c>
      <c r="S83">
        <v>146.50514140003301</v>
      </c>
      <c r="T83">
        <v>146.522394100029</v>
      </c>
      <c r="U83">
        <v>146.88923080003499</v>
      </c>
      <c r="V83" t="s">
        <v>39</v>
      </c>
      <c r="W83">
        <v>0.37462590000359303</v>
      </c>
      <c r="X83" t="s">
        <v>33</v>
      </c>
      <c r="Y83" t="s">
        <v>34</v>
      </c>
      <c r="Z83">
        <v>1</v>
      </c>
      <c r="AA83" t="s">
        <v>35</v>
      </c>
      <c r="AB83" t="s">
        <v>36</v>
      </c>
      <c r="AD83" t="s">
        <v>37</v>
      </c>
      <c r="AE83">
        <v>59.9962442344506</v>
      </c>
      <c r="AF83" t="s">
        <v>38</v>
      </c>
    </row>
    <row r="84" spans="1:32" x14ac:dyDescent="0.25">
      <c r="A84">
        <v>40</v>
      </c>
      <c r="B84">
        <v>55</v>
      </c>
      <c r="C84">
        <v>62</v>
      </c>
      <c r="D84">
        <v>82</v>
      </c>
      <c r="E84">
        <v>5</v>
      </c>
      <c r="F84">
        <v>11</v>
      </c>
      <c r="G84" t="s">
        <v>39</v>
      </c>
      <c r="H84">
        <v>0.56055480003124103</v>
      </c>
      <c r="I84" t="s">
        <v>33</v>
      </c>
      <c r="J84">
        <v>11</v>
      </c>
      <c r="K84">
        <v>5</v>
      </c>
      <c r="L84">
        <v>82</v>
      </c>
      <c r="M84">
        <v>3</v>
      </c>
      <c r="N84">
        <v>146.90515690000001</v>
      </c>
      <c r="P84">
        <v>146.89601210004099</v>
      </c>
      <c r="Q84">
        <v>146.90515690000001</v>
      </c>
      <c r="R84">
        <v>147.88897600001599</v>
      </c>
      <c r="S84">
        <v>147.88897600001599</v>
      </c>
      <c r="T84">
        <v>147.905230500036</v>
      </c>
      <c r="U84">
        <v>148.45675010001199</v>
      </c>
      <c r="V84" t="s">
        <v>39</v>
      </c>
      <c r="W84">
        <v>0.56055480003124103</v>
      </c>
      <c r="X84" t="s">
        <v>33</v>
      </c>
      <c r="Y84" t="s">
        <v>34</v>
      </c>
      <c r="Z84">
        <v>1</v>
      </c>
      <c r="AA84" t="s">
        <v>35</v>
      </c>
      <c r="AB84" t="s">
        <v>36</v>
      </c>
      <c r="AD84" t="s">
        <v>37</v>
      </c>
      <c r="AE84">
        <v>59.9962442344506</v>
      </c>
      <c r="AF84" t="s">
        <v>38</v>
      </c>
    </row>
    <row r="85" spans="1:32" x14ac:dyDescent="0.25">
      <c r="A85">
        <v>11</v>
      </c>
      <c r="B85">
        <v>30</v>
      </c>
      <c r="C85">
        <v>7</v>
      </c>
      <c r="D85">
        <v>83</v>
      </c>
      <c r="E85">
        <v>6</v>
      </c>
      <c r="F85">
        <v>11</v>
      </c>
      <c r="G85" t="s">
        <v>32</v>
      </c>
      <c r="H85">
        <v>0.41156380000756998</v>
      </c>
      <c r="I85" t="s">
        <v>33</v>
      </c>
      <c r="J85">
        <v>11</v>
      </c>
      <c r="K85">
        <v>6</v>
      </c>
      <c r="L85">
        <v>83</v>
      </c>
      <c r="M85">
        <v>0</v>
      </c>
      <c r="N85">
        <v>148.47236680000699</v>
      </c>
      <c r="P85">
        <v>148.46580480004101</v>
      </c>
      <c r="Q85">
        <v>148.47236680000699</v>
      </c>
      <c r="R85">
        <v>149.47237400000401</v>
      </c>
      <c r="S85">
        <v>149.47237400000401</v>
      </c>
      <c r="T85">
        <v>149.47237400000401</v>
      </c>
      <c r="U85">
        <v>149.88969169999399</v>
      </c>
      <c r="V85" t="s">
        <v>32</v>
      </c>
      <c r="W85">
        <v>0.41156380000756998</v>
      </c>
      <c r="X85" t="s">
        <v>33</v>
      </c>
      <c r="Y85" t="s">
        <v>34</v>
      </c>
      <c r="Z85">
        <v>1</v>
      </c>
      <c r="AA85" t="s">
        <v>35</v>
      </c>
      <c r="AB85" t="s">
        <v>36</v>
      </c>
      <c r="AD85" t="s">
        <v>37</v>
      </c>
      <c r="AE85">
        <v>59.9962442344506</v>
      </c>
      <c r="AF85" t="s">
        <v>38</v>
      </c>
    </row>
    <row r="86" spans="1:32" x14ac:dyDescent="0.25">
      <c r="A86">
        <v>78</v>
      </c>
      <c r="B86">
        <v>80</v>
      </c>
      <c r="C86">
        <v>162</v>
      </c>
      <c r="D86">
        <v>84</v>
      </c>
      <c r="E86">
        <v>0</v>
      </c>
      <c r="F86">
        <v>12</v>
      </c>
      <c r="G86" t="s">
        <v>39</v>
      </c>
      <c r="H86">
        <v>0.452198999992106</v>
      </c>
      <c r="I86" t="s">
        <v>33</v>
      </c>
      <c r="J86">
        <v>12</v>
      </c>
      <c r="K86">
        <v>0</v>
      </c>
      <c r="L86">
        <v>84</v>
      </c>
      <c r="M86">
        <v>6</v>
      </c>
      <c r="N86">
        <v>149.90541400003701</v>
      </c>
      <c r="P86">
        <v>149.895968900003</v>
      </c>
      <c r="Q86">
        <v>149.90541400003701</v>
      </c>
      <c r="R86">
        <v>150.88917810004199</v>
      </c>
      <c r="S86">
        <v>150.88917810004199</v>
      </c>
      <c r="T86">
        <v>150.90549610002199</v>
      </c>
      <c r="U86">
        <v>151.35668000002599</v>
      </c>
      <c r="V86" t="s">
        <v>39</v>
      </c>
      <c r="W86">
        <v>0.452198999992106</v>
      </c>
      <c r="X86" t="s">
        <v>33</v>
      </c>
      <c r="Y86" t="s">
        <v>34</v>
      </c>
      <c r="Z86">
        <v>1</v>
      </c>
      <c r="AA86" t="s">
        <v>35</v>
      </c>
      <c r="AB86" t="s">
        <v>36</v>
      </c>
      <c r="AD86" t="s">
        <v>37</v>
      </c>
      <c r="AE86">
        <v>59.9962442344506</v>
      </c>
      <c r="AF86" t="s">
        <v>38</v>
      </c>
    </row>
    <row r="87" spans="1:32" x14ac:dyDescent="0.25">
      <c r="A87">
        <v>27</v>
      </c>
      <c r="B87">
        <v>50</v>
      </c>
      <c r="C87">
        <v>21</v>
      </c>
      <c r="D87">
        <v>85</v>
      </c>
      <c r="E87">
        <v>1</v>
      </c>
      <c r="F87">
        <v>12</v>
      </c>
      <c r="G87" t="s">
        <v>39</v>
      </c>
      <c r="H87">
        <v>0.33466740004951101</v>
      </c>
      <c r="I87" t="s">
        <v>33</v>
      </c>
      <c r="J87">
        <v>12</v>
      </c>
      <c r="K87">
        <v>1</v>
      </c>
      <c r="L87">
        <v>85</v>
      </c>
      <c r="M87">
        <v>2</v>
      </c>
      <c r="N87">
        <v>151.37196290003999</v>
      </c>
      <c r="P87">
        <v>151.363271000038</v>
      </c>
      <c r="Q87">
        <v>151.37196290003999</v>
      </c>
      <c r="R87">
        <v>152.35863279999401</v>
      </c>
      <c r="S87">
        <v>152.35863279999401</v>
      </c>
      <c r="T87">
        <v>152.37383440003001</v>
      </c>
      <c r="U87">
        <v>152.70798980002201</v>
      </c>
      <c r="V87" t="s">
        <v>39</v>
      </c>
      <c r="W87">
        <v>0.33466740004951101</v>
      </c>
      <c r="X87" t="s">
        <v>33</v>
      </c>
      <c r="Y87" t="s">
        <v>34</v>
      </c>
      <c r="Z87">
        <v>1</v>
      </c>
      <c r="AA87" t="s">
        <v>35</v>
      </c>
      <c r="AB87" t="s">
        <v>36</v>
      </c>
      <c r="AD87" t="s">
        <v>37</v>
      </c>
      <c r="AE87">
        <v>59.9962442344506</v>
      </c>
      <c r="AF87" t="s">
        <v>38</v>
      </c>
    </row>
    <row r="88" spans="1:32" x14ac:dyDescent="0.25">
      <c r="A88">
        <v>49</v>
      </c>
      <c r="B88">
        <v>60</v>
      </c>
      <c r="C88">
        <v>89</v>
      </c>
      <c r="D88">
        <v>86</v>
      </c>
      <c r="E88">
        <v>2</v>
      </c>
      <c r="F88">
        <v>12</v>
      </c>
      <c r="G88" t="s">
        <v>32</v>
      </c>
      <c r="H88">
        <v>0.26759350002976101</v>
      </c>
      <c r="I88" t="s">
        <v>33</v>
      </c>
      <c r="J88">
        <v>12</v>
      </c>
      <c r="K88">
        <v>2</v>
      </c>
      <c r="L88">
        <v>86</v>
      </c>
      <c r="M88">
        <v>4</v>
      </c>
      <c r="N88">
        <v>152.725352700043</v>
      </c>
      <c r="P88">
        <v>152.71965330000901</v>
      </c>
      <c r="Q88">
        <v>152.725352700043</v>
      </c>
      <c r="R88">
        <v>153.707167000044</v>
      </c>
      <c r="S88">
        <v>153.707167000044</v>
      </c>
      <c r="T88">
        <v>153.740482000052</v>
      </c>
      <c r="U88">
        <v>153.99115980003199</v>
      </c>
      <c r="V88" t="s">
        <v>32</v>
      </c>
      <c r="W88">
        <v>0.26759350002976101</v>
      </c>
      <c r="X88" t="s">
        <v>33</v>
      </c>
      <c r="Y88" t="s">
        <v>34</v>
      </c>
      <c r="Z88">
        <v>1</v>
      </c>
      <c r="AA88" t="s">
        <v>35</v>
      </c>
      <c r="AB88" t="s">
        <v>36</v>
      </c>
      <c r="AD88" t="s">
        <v>37</v>
      </c>
      <c r="AE88">
        <v>59.9962442344506</v>
      </c>
      <c r="AF88" t="s">
        <v>38</v>
      </c>
    </row>
    <row r="89" spans="1:32" x14ac:dyDescent="0.25">
      <c r="A89">
        <v>40</v>
      </c>
      <c r="B89">
        <v>55</v>
      </c>
      <c r="C89">
        <v>62</v>
      </c>
      <c r="D89">
        <v>87</v>
      </c>
      <c r="E89">
        <v>3</v>
      </c>
      <c r="F89">
        <v>12</v>
      </c>
      <c r="G89" t="s">
        <v>39</v>
      </c>
      <c r="H89">
        <v>0.42112469999119601</v>
      </c>
      <c r="I89" t="s">
        <v>33</v>
      </c>
      <c r="J89">
        <v>12</v>
      </c>
      <c r="K89">
        <v>3</v>
      </c>
      <c r="L89">
        <v>87</v>
      </c>
      <c r="M89">
        <v>3</v>
      </c>
      <c r="N89">
        <v>154.00748700002401</v>
      </c>
      <c r="P89">
        <v>154.00170390005201</v>
      </c>
      <c r="Q89">
        <v>154.00748700002401</v>
      </c>
      <c r="R89">
        <v>154.990438900014</v>
      </c>
      <c r="S89">
        <v>154.990438900014</v>
      </c>
      <c r="T89">
        <v>155.007146200048</v>
      </c>
      <c r="U89">
        <v>155.42467010003699</v>
      </c>
      <c r="V89" t="s">
        <v>39</v>
      </c>
      <c r="W89">
        <v>0.42112469999119601</v>
      </c>
      <c r="X89" t="s">
        <v>33</v>
      </c>
      <c r="Y89" t="s">
        <v>34</v>
      </c>
      <c r="Z89">
        <v>1</v>
      </c>
      <c r="AA89" t="s">
        <v>35</v>
      </c>
      <c r="AB89" t="s">
        <v>36</v>
      </c>
      <c r="AD89" t="s">
        <v>37</v>
      </c>
      <c r="AE89">
        <v>59.9962442344506</v>
      </c>
      <c r="AF89" t="s">
        <v>38</v>
      </c>
    </row>
    <row r="90" spans="1:32" x14ac:dyDescent="0.25">
      <c r="A90">
        <v>67</v>
      </c>
      <c r="B90">
        <v>75</v>
      </c>
      <c r="C90">
        <v>119</v>
      </c>
      <c r="D90">
        <v>88</v>
      </c>
      <c r="E90">
        <v>4</v>
      </c>
      <c r="F90">
        <v>12</v>
      </c>
      <c r="G90" t="s">
        <v>32</v>
      </c>
      <c r="H90">
        <v>0.30042799998773201</v>
      </c>
      <c r="I90" t="s">
        <v>33</v>
      </c>
      <c r="J90">
        <v>12</v>
      </c>
      <c r="K90">
        <v>4</v>
      </c>
      <c r="L90">
        <v>88</v>
      </c>
      <c r="M90">
        <v>5</v>
      </c>
      <c r="N90">
        <v>155.44161860004499</v>
      </c>
      <c r="P90">
        <v>155.434777899994</v>
      </c>
      <c r="Q90">
        <v>155.44161860004499</v>
      </c>
      <c r="R90">
        <v>156.43998210004</v>
      </c>
      <c r="S90">
        <v>156.43998210004</v>
      </c>
      <c r="T90">
        <v>156.456560600025</v>
      </c>
      <c r="U90">
        <v>156.759546000044</v>
      </c>
      <c r="V90" t="s">
        <v>32</v>
      </c>
      <c r="W90">
        <v>0.30042799998773201</v>
      </c>
      <c r="X90" t="s">
        <v>33</v>
      </c>
      <c r="Y90" t="s">
        <v>34</v>
      </c>
      <c r="Z90">
        <v>1</v>
      </c>
      <c r="AA90" t="s">
        <v>35</v>
      </c>
      <c r="AB90" t="s">
        <v>36</v>
      </c>
      <c r="AD90" t="s">
        <v>37</v>
      </c>
      <c r="AE90">
        <v>59.9962442344506</v>
      </c>
      <c r="AF90" t="s">
        <v>38</v>
      </c>
    </row>
    <row r="91" spans="1:32" x14ac:dyDescent="0.25">
      <c r="A91">
        <v>11</v>
      </c>
      <c r="B91">
        <v>30</v>
      </c>
      <c r="C91">
        <v>7</v>
      </c>
      <c r="D91">
        <v>89</v>
      </c>
      <c r="E91">
        <v>5</v>
      </c>
      <c r="F91">
        <v>12</v>
      </c>
      <c r="G91" t="s">
        <v>39</v>
      </c>
      <c r="H91">
        <v>0.30439360003219901</v>
      </c>
      <c r="I91" t="s">
        <v>33</v>
      </c>
      <c r="J91">
        <v>12</v>
      </c>
      <c r="K91">
        <v>5</v>
      </c>
      <c r="L91">
        <v>89</v>
      </c>
      <c r="M91">
        <v>0</v>
      </c>
      <c r="N91">
        <v>156.77758240001199</v>
      </c>
      <c r="P91">
        <v>156.773577300016</v>
      </c>
      <c r="Q91">
        <v>156.77758240001199</v>
      </c>
      <c r="R91">
        <v>157.77234830002999</v>
      </c>
      <c r="S91">
        <v>157.77234830002999</v>
      </c>
      <c r="T91">
        <v>157.78895750001499</v>
      </c>
      <c r="U91">
        <v>158.09296680003101</v>
      </c>
      <c r="V91" t="s">
        <v>39</v>
      </c>
      <c r="W91">
        <v>0.30439360003219901</v>
      </c>
      <c r="X91" t="s">
        <v>33</v>
      </c>
      <c r="Y91" t="s">
        <v>34</v>
      </c>
      <c r="Z91">
        <v>1</v>
      </c>
      <c r="AA91" t="s">
        <v>35</v>
      </c>
      <c r="AB91" t="s">
        <v>36</v>
      </c>
      <c r="AD91" t="s">
        <v>37</v>
      </c>
      <c r="AE91">
        <v>59.9962442344506</v>
      </c>
      <c r="AF91" t="s">
        <v>38</v>
      </c>
    </row>
    <row r="92" spans="1:32" x14ac:dyDescent="0.25">
      <c r="A92">
        <v>15</v>
      </c>
      <c r="B92">
        <v>35</v>
      </c>
      <c r="C92">
        <v>13</v>
      </c>
      <c r="D92">
        <v>90</v>
      </c>
      <c r="E92">
        <v>6</v>
      </c>
      <c r="F92">
        <v>12</v>
      </c>
      <c r="G92" t="s">
        <v>32</v>
      </c>
      <c r="H92">
        <v>0.32773720001569001</v>
      </c>
      <c r="I92" t="s">
        <v>33</v>
      </c>
      <c r="J92">
        <v>12</v>
      </c>
      <c r="K92">
        <v>6</v>
      </c>
      <c r="L92">
        <v>90</v>
      </c>
      <c r="M92">
        <v>1</v>
      </c>
      <c r="N92">
        <v>158.11402860004401</v>
      </c>
      <c r="P92">
        <v>158.10915930004501</v>
      </c>
      <c r="Q92">
        <v>158.11402860004401</v>
      </c>
      <c r="R92">
        <v>159.096778000006</v>
      </c>
      <c r="S92">
        <v>159.096778000006</v>
      </c>
      <c r="T92">
        <v>159.10969180002499</v>
      </c>
      <c r="U92">
        <v>159.42559960001299</v>
      </c>
      <c r="V92" t="s">
        <v>32</v>
      </c>
      <c r="W92">
        <v>0.32773720001569001</v>
      </c>
      <c r="X92" t="s">
        <v>33</v>
      </c>
      <c r="Y92" t="s">
        <v>34</v>
      </c>
      <c r="Z92">
        <v>1</v>
      </c>
      <c r="AA92" t="s">
        <v>35</v>
      </c>
      <c r="AB92" t="s">
        <v>36</v>
      </c>
      <c r="AD92" t="s">
        <v>37</v>
      </c>
      <c r="AE92">
        <v>59.9962442344506</v>
      </c>
      <c r="AF92" t="s">
        <v>38</v>
      </c>
    </row>
    <row r="93" spans="1:32" x14ac:dyDescent="0.25">
      <c r="A93">
        <v>11</v>
      </c>
      <c r="B93">
        <v>30</v>
      </c>
      <c r="C93">
        <v>7</v>
      </c>
      <c r="D93">
        <v>91</v>
      </c>
      <c r="E93">
        <v>0</v>
      </c>
      <c r="F93">
        <v>13</v>
      </c>
      <c r="G93" t="s">
        <v>39</v>
      </c>
      <c r="H93">
        <v>0.21251969999866499</v>
      </c>
      <c r="I93" t="s">
        <v>33</v>
      </c>
      <c r="J93">
        <v>13</v>
      </c>
      <c r="K93">
        <v>0</v>
      </c>
      <c r="L93">
        <v>91</v>
      </c>
      <c r="M93">
        <v>0</v>
      </c>
      <c r="N93">
        <v>159.448126500006</v>
      </c>
      <c r="P93">
        <v>159.441625900042</v>
      </c>
      <c r="Q93">
        <v>159.448126500006</v>
      </c>
      <c r="R93">
        <v>160.44042590004301</v>
      </c>
      <c r="S93">
        <v>160.44042590004301</v>
      </c>
      <c r="T93">
        <v>160.457364500034</v>
      </c>
      <c r="U93">
        <v>160.659939400036</v>
      </c>
      <c r="V93" t="s">
        <v>39</v>
      </c>
      <c r="W93">
        <v>0.21251969999866499</v>
      </c>
      <c r="X93" t="s">
        <v>33</v>
      </c>
      <c r="Y93" t="s">
        <v>34</v>
      </c>
      <c r="Z93">
        <v>1</v>
      </c>
      <c r="AA93" t="s">
        <v>35</v>
      </c>
      <c r="AB93" t="s">
        <v>36</v>
      </c>
      <c r="AD93" t="s">
        <v>37</v>
      </c>
      <c r="AE93">
        <v>59.9962442344506</v>
      </c>
      <c r="AF93" t="s">
        <v>38</v>
      </c>
    </row>
    <row r="94" spans="1:32" x14ac:dyDescent="0.25">
      <c r="A94">
        <v>15</v>
      </c>
      <c r="B94">
        <v>35</v>
      </c>
      <c r="C94">
        <v>13</v>
      </c>
      <c r="D94">
        <v>92</v>
      </c>
      <c r="E94">
        <v>1</v>
      </c>
      <c r="F94">
        <v>13</v>
      </c>
      <c r="G94" t="s">
        <v>32</v>
      </c>
      <c r="H94">
        <v>0.27377909998176603</v>
      </c>
      <c r="I94" t="s">
        <v>33</v>
      </c>
      <c r="J94">
        <v>13</v>
      </c>
      <c r="K94">
        <v>1</v>
      </c>
      <c r="L94">
        <v>92</v>
      </c>
      <c r="M94">
        <v>1</v>
      </c>
      <c r="N94">
        <v>160.677381900022</v>
      </c>
      <c r="P94">
        <v>160.67157340003101</v>
      </c>
      <c r="Q94">
        <v>160.677381900022</v>
      </c>
      <c r="R94">
        <v>161.67238110001199</v>
      </c>
      <c r="S94">
        <v>161.67238110001199</v>
      </c>
      <c r="T94">
        <v>161.68943940004101</v>
      </c>
      <c r="U94">
        <v>161.95720649999501</v>
      </c>
      <c r="V94" t="s">
        <v>32</v>
      </c>
      <c r="W94">
        <v>0.27377909998176603</v>
      </c>
      <c r="X94" t="s">
        <v>33</v>
      </c>
      <c r="Y94" t="s">
        <v>34</v>
      </c>
      <c r="Z94">
        <v>1</v>
      </c>
      <c r="AA94" t="s">
        <v>35</v>
      </c>
      <c r="AB94" t="s">
        <v>36</v>
      </c>
      <c r="AD94" t="s">
        <v>37</v>
      </c>
      <c r="AE94">
        <v>59.9962442344506</v>
      </c>
      <c r="AF94" t="s">
        <v>38</v>
      </c>
    </row>
    <row r="95" spans="1:32" x14ac:dyDescent="0.25">
      <c r="A95">
        <v>67</v>
      </c>
      <c r="B95">
        <v>75</v>
      </c>
      <c r="C95">
        <v>119</v>
      </c>
      <c r="D95">
        <v>93</v>
      </c>
      <c r="E95">
        <v>2</v>
      </c>
      <c r="F95">
        <v>13</v>
      </c>
      <c r="G95" t="s">
        <v>39</v>
      </c>
      <c r="H95">
        <v>0.29497119999723498</v>
      </c>
      <c r="I95" t="s">
        <v>33</v>
      </c>
      <c r="J95">
        <v>13</v>
      </c>
      <c r="K95">
        <v>2</v>
      </c>
      <c r="L95">
        <v>93</v>
      </c>
      <c r="M95">
        <v>5</v>
      </c>
      <c r="N95">
        <v>161.97298710001601</v>
      </c>
      <c r="P95">
        <v>161.96606160001801</v>
      </c>
      <c r="Q95">
        <v>161.97298710001601</v>
      </c>
      <c r="R95">
        <v>162.97188480000401</v>
      </c>
      <c r="S95">
        <v>162.97188480000401</v>
      </c>
      <c r="T95">
        <v>162.97188480000401</v>
      </c>
      <c r="U95">
        <v>163.272315900016</v>
      </c>
      <c r="V95" t="s">
        <v>39</v>
      </c>
      <c r="W95">
        <v>0.29497119999723498</v>
      </c>
      <c r="X95" t="s">
        <v>33</v>
      </c>
      <c r="Y95" t="s">
        <v>34</v>
      </c>
      <c r="Z95">
        <v>1</v>
      </c>
      <c r="AA95" t="s">
        <v>35</v>
      </c>
      <c r="AB95" t="s">
        <v>36</v>
      </c>
      <c r="AD95" t="s">
        <v>37</v>
      </c>
      <c r="AE95">
        <v>59.9962442344506</v>
      </c>
      <c r="AF95" t="s">
        <v>38</v>
      </c>
    </row>
    <row r="96" spans="1:32" x14ac:dyDescent="0.25">
      <c r="A96">
        <v>40</v>
      </c>
      <c r="B96">
        <v>55</v>
      </c>
      <c r="C96">
        <v>62</v>
      </c>
      <c r="D96">
        <v>94</v>
      </c>
      <c r="E96">
        <v>3</v>
      </c>
      <c r="F96">
        <v>13</v>
      </c>
      <c r="G96" t="s">
        <v>32</v>
      </c>
      <c r="H96">
        <v>0.62062679999507897</v>
      </c>
      <c r="I96" t="s">
        <v>33</v>
      </c>
      <c r="J96">
        <v>13</v>
      </c>
      <c r="K96">
        <v>3</v>
      </c>
      <c r="L96">
        <v>94</v>
      </c>
      <c r="M96">
        <v>3</v>
      </c>
      <c r="N96">
        <v>163.288720400014</v>
      </c>
      <c r="P96">
        <v>163.277531600033</v>
      </c>
      <c r="Q96">
        <v>163.288720400014</v>
      </c>
      <c r="R96">
        <v>164.274136000021</v>
      </c>
      <c r="S96">
        <v>164.274136000021</v>
      </c>
      <c r="T96">
        <v>164.29056540003501</v>
      </c>
      <c r="U96">
        <v>164.90862510004001</v>
      </c>
      <c r="V96" t="s">
        <v>32</v>
      </c>
      <c r="W96">
        <v>0.62062679999507897</v>
      </c>
      <c r="X96" t="s">
        <v>33</v>
      </c>
      <c r="Y96" t="s">
        <v>34</v>
      </c>
      <c r="Z96">
        <v>1</v>
      </c>
      <c r="AA96" t="s">
        <v>35</v>
      </c>
      <c r="AB96" t="s">
        <v>36</v>
      </c>
      <c r="AD96" t="s">
        <v>37</v>
      </c>
      <c r="AE96">
        <v>59.9962442344506</v>
      </c>
      <c r="AF96" t="s">
        <v>38</v>
      </c>
    </row>
    <row r="97" spans="1:32" x14ac:dyDescent="0.25">
      <c r="A97">
        <v>27</v>
      </c>
      <c r="B97">
        <v>50</v>
      </c>
      <c r="C97">
        <v>21</v>
      </c>
      <c r="D97">
        <v>95</v>
      </c>
      <c r="E97">
        <v>4</v>
      </c>
      <c r="F97">
        <v>13</v>
      </c>
      <c r="G97" t="s">
        <v>39</v>
      </c>
      <c r="H97">
        <v>0.49896140000782901</v>
      </c>
      <c r="I97" t="s">
        <v>33</v>
      </c>
      <c r="J97">
        <v>13</v>
      </c>
      <c r="K97">
        <v>4</v>
      </c>
      <c r="L97">
        <v>95</v>
      </c>
      <c r="M97">
        <v>2</v>
      </c>
      <c r="N97">
        <v>164.92996550002101</v>
      </c>
      <c r="P97">
        <v>164.92394000000701</v>
      </c>
      <c r="Q97">
        <v>164.92996550002101</v>
      </c>
      <c r="R97">
        <v>165.907326100044</v>
      </c>
      <c r="S97">
        <v>165.907326100044</v>
      </c>
      <c r="T97">
        <v>165.940713100018</v>
      </c>
      <c r="U97">
        <v>166.40947910002399</v>
      </c>
      <c r="V97" t="s">
        <v>39</v>
      </c>
      <c r="W97">
        <v>0.49896140000782901</v>
      </c>
      <c r="X97" t="s">
        <v>33</v>
      </c>
      <c r="Y97" t="s">
        <v>34</v>
      </c>
      <c r="Z97">
        <v>1</v>
      </c>
      <c r="AA97" t="s">
        <v>35</v>
      </c>
      <c r="AB97" t="s">
        <v>36</v>
      </c>
      <c r="AD97" t="s">
        <v>37</v>
      </c>
      <c r="AE97">
        <v>59.9962442344506</v>
      </c>
      <c r="AF97" t="s">
        <v>38</v>
      </c>
    </row>
    <row r="98" spans="1:32" x14ac:dyDescent="0.25">
      <c r="A98">
        <v>49</v>
      </c>
      <c r="B98">
        <v>60</v>
      </c>
      <c r="C98">
        <v>89</v>
      </c>
      <c r="D98">
        <v>96</v>
      </c>
      <c r="E98">
        <v>5</v>
      </c>
      <c r="F98">
        <v>13</v>
      </c>
      <c r="G98" t="s">
        <v>32</v>
      </c>
      <c r="H98">
        <v>0.48227430001133997</v>
      </c>
      <c r="I98" t="s">
        <v>33</v>
      </c>
      <c r="J98">
        <v>13</v>
      </c>
      <c r="K98">
        <v>5</v>
      </c>
      <c r="L98">
        <v>96</v>
      </c>
      <c r="M98">
        <v>4</v>
      </c>
      <c r="N98">
        <v>166.42824040004001</v>
      </c>
      <c r="P98">
        <v>166.42297900002399</v>
      </c>
      <c r="Q98">
        <v>166.42824040004001</v>
      </c>
      <c r="R98">
        <v>167.410012700012</v>
      </c>
      <c r="S98">
        <v>167.410012700012</v>
      </c>
      <c r="T98">
        <v>167.44297930004501</v>
      </c>
      <c r="U98">
        <v>167.90808530000501</v>
      </c>
      <c r="V98" t="s">
        <v>32</v>
      </c>
      <c r="W98">
        <v>0.48227430001133997</v>
      </c>
      <c r="X98" t="s">
        <v>33</v>
      </c>
      <c r="Y98" t="s">
        <v>34</v>
      </c>
      <c r="Z98">
        <v>1</v>
      </c>
      <c r="AA98" t="s">
        <v>35</v>
      </c>
      <c r="AB98" t="s">
        <v>36</v>
      </c>
      <c r="AD98" t="s">
        <v>37</v>
      </c>
      <c r="AE98">
        <v>59.9962442344506</v>
      </c>
      <c r="AF98" t="s">
        <v>38</v>
      </c>
    </row>
    <row r="99" spans="1:32" x14ac:dyDescent="0.25">
      <c r="A99">
        <v>78</v>
      </c>
      <c r="B99">
        <v>80</v>
      </c>
      <c r="C99">
        <v>162</v>
      </c>
      <c r="D99">
        <v>97</v>
      </c>
      <c r="E99">
        <v>6</v>
      </c>
      <c r="F99">
        <v>13</v>
      </c>
      <c r="G99" t="s">
        <v>39</v>
      </c>
      <c r="H99">
        <v>0.37904769997112397</v>
      </c>
      <c r="I99" t="s">
        <v>33</v>
      </c>
      <c r="J99">
        <v>13</v>
      </c>
      <c r="K99">
        <v>6</v>
      </c>
      <c r="L99">
        <v>97</v>
      </c>
      <c r="M99">
        <v>6</v>
      </c>
      <c r="N99">
        <v>167.92484069999699</v>
      </c>
      <c r="P99">
        <v>167.91951279999901</v>
      </c>
      <c r="Q99">
        <v>167.92484069999699</v>
      </c>
      <c r="R99">
        <v>168.92421830003099</v>
      </c>
      <c r="S99">
        <v>168.92421830003099</v>
      </c>
      <c r="T99">
        <v>168.92421830003099</v>
      </c>
      <c r="U99">
        <v>169.31196410005199</v>
      </c>
      <c r="V99" t="s">
        <v>39</v>
      </c>
      <c r="W99">
        <v>0.37904769997112397</v>
      </c>
      <c r="X99" t="s">
        <v>33</v>
      </c>
      <c r="Y99" t="s">
        <v>34</v>
      </c>
      <c r="Z99">
        <v>1</v>
      </c>
      <c r="AA99" t="s">
        <v>35</v>
      </c>
      <c r="AB99" t="s">
        <v>36</v>
      </c>
      <c r="AD99" t="s">
        <v>37</v>
      </c>
      <c r="AE99">
        <v>59.9962442344506</v>
      </c>
      <c r="AF99" t="s">
        <v>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9"/>
  <sheetViews>
    <sheetView tabSelected="1" workbookViewId="0">
      <selection activeCell="G4" sqref="G4"/>
    </sheetView>
  </sheetViews>
  <sheetFormatPr defaultRowHeight="15" x14ac:dyDescent="0.25"/>
  <cols>
    <col min="1" max="2" width="12.140625" customWidth="1"/>
    <col min="4" max="4" width="16" customWidth="1"/>
    <col min="5" max="5" width="18.42578125" customWidth="1"/>
    <col min="6" max="6" width="20.85546875" customWidth="1"/>
    <col min="7" max="7" width="21.42578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6</v>
      </c>
      <c r="E1" t="s">
        <v>40</v>
      </c>
      <c r="F1" t="s">
        <v>41</v>
      </c>
      <c r="G1" t="s">
        <v>42</v>
      </c>
    </row>
    <row r="2" spans="1:7" x14ac:dyDescent="0.25">
      <c r="A2">
        <v>78</v>
      </c>
      <c r="B2">
        <v>80</v>
      </c>
      <c r="C2">
        <v>162</v>
      </c>
      <c r="D2" t="s">
        <v>39</v>
      </c>
      <c r="E2">
        <f>((B2/A2)-1/C2)</f>
        <v>1.0194681861348527</v>
      </c>
    </row>
    <row r="3" spans="1:7" x14ac:dyDescent="0.25">
      <c r="A3">
        <v>78</v>
      </c>
      <c r="B3">
        <v>80</v>
      </c>
      <c r="C3">
        <v>162</v>
      </c>
      <c r="D3" t="s">
        <v>39</v>
      </c>
      <c r="E3">
        <f>((B3/A3)-1/C3)</f>
        <v>1.0194681861348527</v>
      </c>
      <c r="G3">
        <f>AVERAGE(F4:F96)</f>
        <v>1.5643873597719389</v>
      </c>
    </row>
    <row r="4" spans="1:7" x14ac:dyDescent="0.25">
      <c r="A4">
        <v>78</v>
      </c>
      <c r="B4">
        <v>80</v>
      </c>
      <c r="C4">
        <v>162</v>
      </c>
      <c r="D4" t="s">
        <v>39</v>
      </c>
      <c r="E4">
        <f>((B4/A4)-1/C4)</f>
        <v>1.0194681861348527</v>
      </c>
      <c r="F4">
        <f>GEOMEAN(E4:E5)</f>
        <v>1.0194681861348527</v>
      </c>
    </row>
    <row r="5" spans="1:7" x14ac:dyDescent="0.25">
      <c r="A5">
        <v>78</v>
      </c>
      <c r="B5">
        <v>80</v>
      </c>
      <c r="C5">
        <v>162</v>
      </c>
      <c r="D5" t="s">
        <v>32</v>
      </c>
      <c r="E5">
        <f>((B5/A5)-1/C5)</f>
        <v>1.0194681861348527</v>
      </c>
    </row>
    <row r="6" spans="1:7" x14ac:dyDescent="0.25">
      <c r="A6">
        <v>78</v>
      </c>
      <c r="B6">
        <v>80</v>
      </c>
      <c r="C6">
        <v>162</v>
      </c>
      <c r="D6" t="s">
        <v>39</v>
      </c>
      <c r="E6">
        <f>((B6/A6)-1/C6)</f>
        <v>1.0194681861348527</v>
      </c>
      <c r="F6">
        <f>GEOMEAN(E6:E7)</f>
        <v>1.0194681861348527</v>
      </c>
    </row>
    <row r="7" spans="1:7" x14ac:dyDescent="0.25">
      <c r="A7">
        <v>78</v>
      </c>
      <c r="B7">
        <v>80</v>
      </c>
      <c r="C7">
        <v>162</v>
      </c>
      <c r="D7" t="s">
        <v>32</v>
      </c>
      <c r="E7">
        <f>((B7/A7)-1/C7)</f>
        <v>1.0194681861348527</v>
      </c>
    </row>
    <row r="8" spans="1:7" x14ac:dyDescent="0.25">
      <c r="A8">
        <v>78</v>
      </c>
      <c r="B8">
        <v>80</v>
      </c>
      <c r="C8">
        <v>162</v>
      </c>
      <c r="D8" t="s">
        <v>32</v>
      </c>
      <c r="E8">
        <f>((B8/A8)-1/C8)</f>
        <v>1.0194681861348527</v>
      </c>
    </row>
    <row r="9" spans="1:7" x14ac:dyDescent="0.25">
      <c r="A9">
        <v>78</v>
      </c>
      <c r="B9">
        <v>80</v>
      </c>
      <c r="C9">
        <v>162</v>
      </c>
      <c r="D9" t="s">
        <v>32</v>
      </c>
      <c r="E9">
        <f>((B9/A9)-1/C9)</f>
        <v>1.0194681861348527</v>
      </c>
    </row>
    <row r="10" spans="1:7" x14ac:dyDescent="0.25">
      <c r="A10">
        <v>78</v>
      </c>
      <c r="B10">
        <v>80</v>
      </c>
      <c r="C10">
        <v>162</v>
      </c>
      <c r="D10" t="s">
        <v>32</v>
      </c>
      <c r="E10">
        <f>((B10/A10)-1/C10)</f>
        <v>1.0194681861348527</v>
      </c>
    </row>
    <row r="11" spans="1:7" x14ac:dyDescent="0.25">
      <c r="A11">
        <v>78</v>
      </c>
      <c r="B11">
        <v>80</v>
      </c>
      <c r="C11">
        <v>162</v>
      </c>
      <c r="D11" t="s">
        <v>32</v>
      </c>
      <c r="E11">
        <f>((B11/A11)-1/C11)</f>
        <v>1.0194681861348527</v>
      </c>
    </row>
    <row r="12" spans="1:7" x14ac:dyDescent="0.25">
      <c r="A12">
        <v>78</v>
      </c>
      <c r="B12">
        <v>80</v>
      </c>
      <c r="C12">
        <v>162</v>
      </c>
      <c r="D12" t="s">
        <v>39</v>
      </c>
      <c r="E12">
        <f>((B12/A12)-1/C12)</f>
        <v>1.0194681861348527</v>
      </c>
      <c r="F12">
        <f>GEOMEAN(E12:E13)</f>
        <v>1.0194681861348527</v>
      </c>
    </row>
    <row r="13" spans="1:7" x14ac:dyDescent="0.25">
      <c r="A13">
        <v>78</v>
      </c>
      <c r="B13">
        <v>80</v>
      </c>
      <c r="C13">
        <v>162</v>
      </c>
      <c r="D13" t="s">
        <v>32</v>
      </c>
      <c r="E13">
        <f>((B13/A13)-1/C13)</f>
        <v>1.0194681861348527</v>
      </c>
    </row>
    <row r="14" spans="1:7" x14ac:dyDescent="0.25">
      <c r="A14">
        <v>78</v>
      </c>
      <c r="B14">
        <v>80</v>
      </c>
      <c r="C14">
        <v>162</v>
      </c>
      <c r="D14" t="s">
        <v>39</v>
      </c>
      <c r="E14">
        <f>((B14/A14)-1/C14)</f>
        <v>1.0194681861348527</v>
      </c>
    </row>
    <row r="15" spans="1:7" x14ac:dyDescent="0.25">
      <c r="A15">
        <v>78</v>
      </c>
      <c r="B15">
        <v>80</v>
      </c>
      <c r="C15">
        <v>162</v>
      </c>
      <c r="D15" t="s">
        <v>39</v>
      </c>
      <c r="E15">
        <f>((B15/A15)-1/C15)</f>
        <v>1.0194681861348527</v>
      </c>
    </row>
    <row r="16" spans="1:7" x14ac:dyDescent="0.25">
      <c r="A16">
        <v>67</v>
      </c>
      <c r="B16">
        <v>75</v>
      </c>
      <c r="C16">
        <v>119</v>
      </c>
      <c r="D16" t="s">
        <v>39</v>
      </c>
      <c r="E16">
        <f>((B16/A16)-1/C16)</f>
        <v>1.110999623730089</v>
      </c>
    </row>
    <row r="17" spans="1:6" x14ac:dyDescent="0.25">
      <c r="A17">
        <v>67</v>
      </c>
      <c r="B17">
        <v>75</v>
      </c>
      <c r="C17">
        <v>119</v>
      </c>
      <c r="D17" t="s">
        <v>39</v>
      </c>
      <c r="E17">
        <f>((B17/A17)-1/C17)</f>
        <v>1.110999623730089</v>
      </c>
    </row>
    <row r="18" spans="1:6" x14ac:dyDescent="0.25">
      <c r="A18">
        <v>67</v>
      </c>
      <c r="B18">
        <v>75</v>
      </c>
      <c r="C18">
        <v>119</v>
      </c>
      <c r="D18" t="s">
        <v>39</v>
      </c>
      <c r="E18">
        <f>((B18/A18)-1/C18)</f>
        <v>1.110999623730089</v>
      </c>
    </row>
    <row r="19" spans="1:6" x14ac:dyDescent="0.25">
      <c r="A19">
        <v>67</v>
      </c>
      <c r="B19">
        <v>75</v>
      </c>
      <c r="C19">
        <v>119</v>
      </c>
      <c r="D19" t="s">
        <v>39</v>
      </c>
      <c r="E19">
        <f>((B19/A19)-1/C19)</f>
        <v>1.110999623730089</v>
      </c>
    </row>
    <row r="20" spans="1:6" x14ac:dyDescent="0.25">
      <c r="A20">
        <v>67</v>
      </c>
      <c r="B20">
        <v>75</v>
      </c>
      <c r="C20">
        <v>119</v>
      </c>
      <c r="D20" t="s">
        <v>39</v>
      </c>
      <c r="E20">
        <f>((B20/A20)-1/C20)</f>
        <v>1.110999623730089</v>
      </c>
      <c r="F20">
        <f>GEOMEAN(E20:E21)</f>
        <v>1.110999623730089</v>
      </c>
    </row>
    <row r="21" spans="1:6" x14ac:dyDescent="0.25">
      <c r="A21">
        <v>67</v>
      </c>
      <c r="B21">
        <v>75</v>
      </c>
      <c r="C21">
        <v>119</v>
      </c>
      <c r="D21" t="s">
        <v>32</v>
      </c>
      <c r="E21">
        <f>((B21/A21)-1/C21)</f>
        <v>1.110999623730089</v>
      </c>
    </row>
    <row r="22" spans="1:6" x14ac:dyDescent="0.25">
      <c r="A22">
        <v>67</v>
      </c>
      <c r="B22">
        <v>75</v>
      </c>
      <c r="C22">
        <v>119</v>
      </c>
      <c r="D22" t="s">
        <v>39</v>
      </c>
      <c r="E22">
        <f>((B22/A22)-1/C22)</f>
        <v>1.110999623730089</v>
      </c>
    </row>
    <row r="23" spans="1:6" x14ac:dyDescent="0.25">
      <c r="A23">
        <v>67</v>
      </c>
      <c r="B23">
        <v>75</v>
      </c>
      <c r="C23">
        <v>119</v>
      </c>
      <c r="D23" t="s">
        <v>39</v>
      </c>
      <c r="E23">
        <f>((B23/A23)-1/C23)</f>
        <v>1.110999623730089</v>
      </c>
    </row>
    <row r="24" spans="1:6" x14ac:dyDescent="0.25">
      <c r="A24">
        <v>67</v>
      </c>
      <c r="B24">
        <v>75</v>
      </c>
      <c r="C24">
        <v>119</v>
      </c>
      <c r="D24" t="s">
        <v>39</v>
      </c>
      <c r="E24">
        <f>((B24/A24)-1/C24)</f>
        <v>1.110999623730089</v>
      </c>
    </row>
    <row r="25" spans="1:6" x14ac:dyDescent="0.25">
      <c r="A25">
        <v>67</v>
      </c>
      <c r="B25">
        <v>75</v>
      </c>
      <c r="C25">
        <v>119</v>
      </c>
      <c r="D25" t="s">
        <v>39</v>
      </c>
      <c r="E25">
        <f>((B25/A25)-1/C25)</f>
        <v>1.110999623730089</v>
      </c>
    </row>
    <row r="26" spans="1:6" x14ac:dyDescent="0.25">
      <c r="A26">
        <v>67</v>
      </c>
      <c r="B26">
        <v>75</v>
      </c>
      <c r="C26">
        <v>119</v>
      </c>
      <c r="D26" t="s">
        <v>39</v>
      </c>
      <c r="E26">
        <f>((B26/A26)-1/C26)</f>
        <v>1.110999623730089</v>
      </c>
    </row>
    <row r="27" spans="1:6" x14ac:dyDescent="0.25">
      <c r="A27">
        <v>67</v>
      </c>
      <c r="B27">
        <v>75</v>
      </c>
      <c r="C27">
        <v>119</v>
      </c>
      <c r="D27" t="s">
        <v>39</v>
      </c>
      <c r="E27">
        <f>((B27/A27)-1/C27)</f>
        <v>1.110999623730089</v>
      </c>
      <c r="F27">
        <f>GEOMEAN(E27:E28)</f>
        <v>1.110999623730089</v>
      </c>
    </row>
    <row r="28" spans="1:6" x14ac:dyDescent="0.25">
      <c r="A28">
        <v>67</v>
      </c>
      <c r="B28">
        <v>75</v>
      </c>
      <c r="C28">
        <v>119</v>
      </c>
      <c r="D28" t="s">
        <v>32</v>
      </c>
      <c r="E28">
        <f>((B28/A28)-1/C28)</f>
        <v>1.110999623730089</v>
      </c>
    </row>
    <row r="29" spans="1:6" x14ac:dyDescent="0.25">
      <c r="A29">
        <v>67</v>
      </c>
      <c r="B29">
        <v>75</v>
      </c>
      <c r="C29">
        <v>119</v>
      </c>
      <c r="D29" t="s">
        <v>39</v>
      </c>
      <c r="E29">
        <f>((B29/A29)-1/C29)</f>
        <v>1.110999623730089</v>
      </c>
    </row>
    <row r="30" spans="1:6" x14ac:dyDescent="0.25">
      <c r="A30">
        <v>49</v>
      </c>
      <c r="B30">
        <v>60</v>
      </c>
      <c r="C30">
        <v>89</v>
      </c>
      <c r="D30" t="s">
        <v>39</v>
      </c>
      <c r="E30">
        <f>((B30/A30)-1/C30)</f>
        <v>1.2132538408621876</v>
      </c>
      <c r="F30">
        <f>GEOMEAN(E30:E31)</f>
        <v>1.2132538408621876</v>
      </c>
    </row>
    <row r="31" spans="1:6" x14ac:dyDescent="0.25">
      <c r="A31">
        <v>49</v>
      </c>
      <c r="B31">
        <v>60</v>
      </c>
      <c r="C31">
        <v>89</v>
      </c>
      <c r="D31" t="s">
        <v>32</v>
      </c>
      <c r="E31">
        <f>((B31/A31)-1/C31)</f>
        <v>1.2132538408621876</v>
      </c>
    </row>
    <row r="32" spans="1:6" x14ac:dyDescent="0.25">
      <c r="A32">
        <v>49</v>
      </c>
      <c r="B32">
        <v>60</v>
      </c>
      <c r="C32">
        <v>89</v>
      </c>
      <c r="D32" t="s">
        <v>32</v>
      </c>
      <c r="E32">
        <f>((B32/A32)-1/C32)</f>
        <v>1.2132538408621876</v>
      </c>
    </row>
    <row r="33" spans="1:6" x14ac:dyDescent="0.25">
      <c r="A33">
        <v>49</v>
      </c>
      <c r="B33">
        <v>60</v>
      </c>
      <c r="C33">
        <v>89</v>
      </c>
      <c r="D33" t="s">
        <v>39</v>
      </c>
      <c r="E33">
        <f>((B33/A33)-1/C33)</f>
        <v>1.2132538408621876</v>
      </c>
      <c r="F33">
        <f>GEOMEAN(E33:E34)</f>
        <v>1.2132538408621876</v>
      </c>
    </row>
    <row r="34" spans="1:6" x14ac:dyDescent="0.25">
      <c r="A34">
        <v>49</v>
      </c>
      <c r="B34">
        <v>60</v>
      </c>
      <c r="C34">
        <v>89</v>
      </c>
      <c r="D34" t="s">
        <v>32</v>
      </c>
      <c r="E34">
        <f>((B34/A34)-1/C34)</f>
        <v>1.2132538408621876</v>
      </c>
    </row>
    <row r="35" spans="1:6" x14ac:dyDescent="0.25">
      <c r="A35">
        <v>49</v>
      </c>
      <c r="B35">
        <v>60</v>
      </c>
      <c r="C35">
        <v>89</v>
      </c>
      <c r="D35" t="s">
        <v>39</v>
      </c>
      <c r="E35">
        <f>((B35/A35)-1/C35)</f>
        <v>1.2132538408621876</v>
      </c>
    </row>
    <row r="36" spans="1:6" x14ac:dyDescent="0.25">
      <c r="A36">
        <v>49</v>
      </c>
      <c r="B36">
        <v>60</v>
      </c>
      <c r="C36">
        <v>89</v>
      </c>
      <c r="D36" t="s">
        <v>39</v>
      </c>
      <c r="E36">
        <f>((B36/A36)-1/C36)</f>
        <v>1.2132538408621876</v>
      </c>
      <c r="F36">
        <f>GEOMEAN(E36:E37)</f>
        <v>1.2132538408621876</v>
      </c>
    </row>
    <row r="37" spans="1:6" x14ac:dyDescent="0.25">
      <c r="A37">
        <v>49</v>
      </c>
      <c r="B37">
        <v>60</v>
      </c>
      <c r="C37">
        <v>89</v>
      </c>
      <c r="D37" t="s">
        <v>32</v>
      </c>
      <c r="E37">
        <f>((B37/A37)-1/C37)</f>
        <v>1.2132538408621876</v>
      </c>
    </row>
    <row r="38" spans="1:6" x14ac:dyDescent="0.25">
      <c r="A38">
        <v>49</v>
      </c>
      <c r="B38">
        <v>60</v>
      </c>
      <c r="C38">
        <v>89</v>
      </c>
      <c r="D38" t="s">
        <v>39</v>
      </c>
      <c r="E38">
        <f>((B38/A38)-1/C38)</f>
        <v>1.2132538408621876</v>
      </c>
    </row>
    <row r="39" spans="1:6" x14ac:dyDescent="0.25">
      <c r="A39">
        <v>49</v>
      </c>
      <c r="B39">
        <v>60</v>
      </c>
      <c r="C39">
        <v>89</v>
      </c>
      <c r="D39" t="s">
        <v>39</v>
      </c>
      <c r="E39">
        <f>((B39/A39)-1/C39)</f>
        <v>1.2132538408621876</v>
      </c>
      <c r="F39">
        <f>GEOMEAN(E39:E40)</f>
        <v>1.2132538408621876</v>
      </c>
    </row>
    <row r="40" spans="1:6" x14ac:dyDescent="0.25">
      <c r="A40">
        <v>49</v>
      </c>
      <c r="B40">
        <v>60</v>
      </c>
      <c r="C40">
        <v>89</v>
      </c>
      <c r="D40" t="s">
        <v>32</v>
      </c>
      <c r="E40">
        <f>((B40/A40)-1/C40)</f>
        <v>1.2132538408621876</v>
      </c>
    </row>
    <row r="41" spans="1:6" x14ac:dyDescent="0.25">
      <c r="A41">
        <v>49</v>
      </c>
      <c r="B41">
        <v>60</v>
      </c>
      <c r="C41">
        <v>89</v>
      </c>
      <c r="D41" t="s">
        <v>32</v>
      </c>
      <c r="E41">
        <f>((B41/A41)-1/C41)</f>
        <v>1.2132538408621876</v>
      </c>
    </row>
    <row r="42" spans="1:6" x14ac:dyDescent="0.25">
      <c r="A42">
        <v>49</v>
      </c>
      <c r="B42">
        <v>60</v>
      </c>
      <c r="C42">
        <v>89</v>
      </c>
      <c r="D42" t="s">
        <v>32</v>
      </c>
      <c r="E42">
        <f>((B42/A42)-1/C42)</f>
        <v>1.2132538408621876</v>
      </c>
    </row>
    <row r="43" spans="1:6" x14ac:dyDescent="0.25">
      <c r="A43">
        <v>49</v>
      </c>
      <c r="B43">
        <v>60</v>
      </c>
      <c r="C43">
        <v>89</v>
      </c>
      <c r="D43" t="s">
        <v>32</v>
      </c>
      <c r="E43">
        <f>((B43/A43)-1/C43)</f>
        <v>1.2132538408621876</v>
      </c>
    </row>
    <row r="44" spans="1:6" x14ac:dyDescent="0.25">
      <c r="A44">
        <v>40</v>
      </c>
      <c r="B44">
        <v>55</v>
      </c>
      <c r="C44">
        <v>62</v>
      </c>
      <c r="D44" t="s">
        <v>32</v>
      </c>
      <c r="E44">
        <f>((B44/A44)-1/C44)</f>
        <v>1.3588709677419355</v>
      </c>
    </row>
    <row r="45" spans="1:6" x14ac:dyDescent="0.25">
      <c r="A45">
        <v>40</v>
      </c>
      <c r="B45">
        <v>55</v>
      </c>
      <c r="C45">
        <v>62</v>
      </c>
      <c r="D45" t="s">
        <v>32</v>
      </c>
      <c r="E45">
        <f>((B45/A45)-1/C45)</f>
        <v>1.3588709677419355</v>
      </c>
    </row>
    <row r="46" spans="1:6" x14ac:dyDescent="0.25">
      <c r="A46">
        <v>40</v>
      </c>
      <c r="B46">
        <v>55</v>
      </c>
      <c r="C46">
        <v>62</v>
      </c>
      <c r="D46" t="s">
        <v>32</v>
      </c>
      <c r="E46">
        <f>((B46/A46)-1/C46)</f>
        <v>1.3588709677419355</v>
      </c>
    </row>
    <row r="47" spans="1:6" x14ac:dyDescent="0.25">
      <c r="A47">
        <v>40</v>
      </c>
      <c r="B47">
        <v>55</v>
      </c>
      <c r="C47">
        <v>62</v>
      </c>
      <c r="D47" t="s">
        <v>32</v>
      </c>
      <c r="E47">
        <f>((B47/A47)-1/C47)</f>
        <v>1.3588709677419355</v>
      </c>
    </row>
    <row r="48" spans="1:6" x14ac:dyDescent="0.25">
      <c r="A48">
        <v>40</v>
      </c>
      <c r="B48">
        <v>55</v>
      </c>
      <c r="C48">
        <v>62</v>
      </c>
      <c r="D48" t="s">
        <v>32</v>
      </c>
      <c r="E48">
        <f>((B48/A48)-1/C48)</f>
        <v>1.3588709677419355</v>
      </c>
    </row>
    <row r="49" spans="1:6" x14ac:dyDescent="0.25">
      <c r="A49">
        <v>40</v>
      </c>
      <c r="B49">
        <v>55</v>
      </c>
      <c r="C49">
        <v>62</v>
      </c>
      <c r="D49" t="s">
        <v>32</v>
      </c>
      <c r="E49">
        <f>((B49/A49)-1/C49)</f>
        <v>1.3588709677419355</v>
      </c>
    </row>
    <row r="50" spans="1:6" x14ac:dyDescent="0.25">
      <c r="A50">
        <v>40</v>
      </c>
      <c r="B50">
        <v>55</v>
      </c>
      <c r="C50">
        <v>62</v>
      </c>
      <c r="D50" t="s">
        <v>39</v>
      </c>
      <c r="E50">
        <f>((B50/A50)-1/C50)</f>
        <v>1.3588709677419355</v>
      </c>
    </row>
    <row r="51" spans="1:6" x14ac:dyDescent="0.25">
      <c r="A51">
        <v>40</v>
      </c>
      <c r="B51">
        <v>55</v>
      </c>
      <c r="C51">
        <v>62</v>
      </c>
      <c r="D51" t="s">
        <v>39</v>
      </c>
      <c r="E51">
        <f>((B51/A51)-1/C51)</f>
        <v>1.3588709677419355</v>
      </c>
    </row>
    <row r="52" spans="1:6" x14ac:dyDescent="0.25">
      <c r="A52">
        <v>40</v>
      </c>
      <c r="B52">
        <v>55</v>
      </c>
      <c r="C52">
        <v>62</v>
      </c>
      <c r="D52" t="s">
        <v>39</v>
      </c>
      <c r="E52">
        <f>((B52/A52)-1/C52)</f>
        <v>1.3588709677419355</v>
      </c>
      <c r="F52">
        <f>GEOMEAN(E52:E53)</f>
        <v>1.3588709677419355</v>
      </c>
    </row>
    <row r="53" spans="1:6" x14ac:dyDescent="0.25">
      <c r="A53">
        <v>40</v>
      </c>
      <c r="B53">
        <v>55</v>
      </c>
      <c r="C53">
        <v>62</v>
      </c>
      <c r="D53" t="s">
        <v>32</v>
      </c>
      <c r="E53">
        <f>((B53/A53)-1/C53)</f>
        <v>1.3588709677419355</v>
      </c>
    </row>
    <row r="54" spans="1:6" x14ac:dyDescent="0.25">
      <c r="A54">
        <v>40</v>
      </c>
      <c r="B54">
        <v>55</v>
      </c>
      <c r="C54">
        <v>62</v>
      </c>
      <c r="D54" t="s">
        <v>32</v>
      </c>
      <c r="E54">
        <f>((B54/A54)-1/C54)</f>
        <v>1.3588709677419355</v>
      </c>
    </row>
    <row r="55" spans="1:6" x14ac:dyDescent="0.25">
      <c r="A55">
        <v>40</v>
      </c>
      <c r="B55">
        <v>55</v>
      </c>
      <c r="C55">
        <v>62</v>
      </c>
      <c r="D55" t="s">
        <v>39</v>
      </c>
      <c r="E55">
        <f>((B55/A55)-1/C55)</f>
        <v>1.3588709677419355</v>
      </c>
    </row>
    <row r="56" spans="1:6" x14ac:dyDescent="0.25">
      <c r="A56">
        <v>40</v>
      </c>
      <c r="B56">
        <v>55</v>
      </c>
      <c r="C56">
        <v>62</v>
      </c>
      <c r="D56" t="s">
        <v>39</v>
      </c>
      <c r="E56">
        <f>((B56/A56)-1/C56)</f>
        <v>1.3588709677419355</v>
      </c>
      <c r="F56">
        <f>GEOMEAN(E56:E57)</f>
        <v>1.3588709677419355</v>
      </c>
    </row>
    <row r="57" spans="1:6" x14ac:dyDescent="0.25">
      <c r="A57">
        <v>40</v>
      </c>
      <c r="B57">
        <v>55</v>
      </c>
      <c r="C57">
        <v>62</v>
      </c>
      <c r="D57" t="s">
        <v>32</v>
      </c>
      <c r="E57">
        <f>((B57/A57)-1/C57)</f>
        <v>1.3588709677419355</v>
      </c>
    </row>
    <row r="58" spans="1:6" x14ac:dyDescent="0.25">
      <c r="A58">
        <v>27</v>
      </c>
      <c r="B58">
        <v>50</v>
      </c>
      <c r="C58">
        <v>21</v>
      </c>
      <c r="D58" t="s">
        <v>32</v>
      </c>
      <c r="E58">
        <f>((B58/A58)-1/C58)</f>
        <v>1.8042328042328042</v>
      </c>
    </row>
    <row r="59" spans="1:6" x14ac:dyDescent="0.25">
      <c r="A59">
        <v>27</v>
      </c>
      <c r="B59">
        <v>50</v>
      </c>
      <c r="C59">
        <v>21</v>
      </c>
      <c r="D59" t="s">
        <v>32</v>
      </c>
      <c r="E59">
        <f>((B59/A59)-1/C59)</f>
        <v>1.8042328042328042</v>
      </c>
    </row>
    <row r="60" spans="1:6" x14ac:dyDescent="0.25">
      <c r="A60">
        <v>27</v>
      </c>
      <c r="B60">
        <v>50</v>
      </c>
      <c r="C60">
        <v>21</v>
      </c>
      <c r="D60" t="s">
        <v>32</v>
      </c>
      <c r="E60">
        <f>((B60/A60)-1/C60)</f>
        <v>1.8042328042328042</v>
      </c>
    </row>
    <row r="61" spans="1:6" x14ac:dyDescent="0.25">
      <c r="A61">
        <v>27</v>
      </c>
      <c r="B61">
        <v>50</v>
      </c>
      <c r="C61">
        <v>21</v>
      </c>
      <c r="D61" t="s">
        <v>32</v>
      </c>
      <c r="E61">
        <f>((B61/A61)-1/C61)</f>
        <v>1.8042328042328042</v>
      </c>
    </row>
    <row r="62" spans="1:6" x14ac:dyDescent="0.25">
      <c r="A62">
        <v>27</v>
      </c>
      <c r="B62">
        <v>50</v>
      </c>
      <c r="C62">
        <v>21</v>
      </c>
      <c r="D62" t="s">
        <v>32</v>
      </c>
      <c r="E62">
        <f>((B62/A62)-1/C62)</f>
        <v>1.8042328042328042</v>
      </c>
    </row>
    <row r="63" spans="1:6" x14ac:dyDescent="0.25">
      <c r="A63">
        <v>27</v>
      </c>
      <c r="B63">
        <v>50</v>
      </c>
      <c r="C63">
        <v>21</v>
      </c>
      <c r="D63" t="s">
        <v>32</v>
      </c>
      <c r="E63">
        <f>((B63/A63)-1/C63)</f>
        <v>1.8042328042328042</v>
      </c>
    </row>
    <row r="64" spans="1:6" x14ac:dyDescent="0.25">
      <c r="A64">
        <v>27</v>
      </c>
      <c r="B64">
        <v>50</v>
      </c>
      <c r="C64">
        <v>21</v>
      </c>
      <c r="D64" t="s">
        <v>39</v>
      </c>
      <c r="E64">
        <f>((B64/A64)-1/C64)</f>
        <v>1.8042328042328042</v>
      </c>
      <c r="F64">
        <f>GEOMEAN(E64:E65)</f>
        <v>1.8042328042328042</v>
      </c>
    </row>
    <row r="65" spans="1:6" x14ac:dyDescent="0.25">
      <c r="A65">
        <v>27</v>
      </c>
      <c r="B65">
        <v>50</v>
      </c>
      <c r="C65">
        <v>21</v>
      </c>
      <c r="D65" t="s">
        <v>32</v>
      </c>
      <c r="E65">
        <f>((B65/A65)-1/C65)</f>
        <v>1.8042328042328042</v>
      </c>
    </row>
    <row r="66" spans="1:6" x14ac:dyDescent="0.25">
      <c r="A66">
        <v>27</v>
      </c>
      <c r="B66">
        <v>50</v>
      </c>
      <c r="C66">
        <v>21</v>
      </c>
      <c r="D66" t="s">
        <v>32</v>
      </c>
      <c r="E66">
        <f>((B66/A66)-1/C66)</f>
        <v>1.8042328042328042</v>
      </c>
    </row>
    <row r="67" spans="1:6" x14ac:dyDescent="0.25">
      <c r="A67">
        <v>27</v>
      </c>
      <c r="B67">
        <v>50</v>
      </c>
      <c r="C67">
        <v>21</v>
      </c>
      <c r="D67" t="s">
        <v>39</v>
      </c>
      <c r="E67">
        <f>((B67/A67)-1/C67)</f>
        <v>1.8042328042328042</v>
      </c>
      <c r="F67">
        <f>GEOMEAN(E67:E68)</f>
        <v>1.8042328042328042</v>
      </c>
    </row>
    <row r="68" spans="1:6" x14ac:dyDescent="0.25">
      <c r="A68">
        <v>27</v>
      </c>
      <c r="B68">
        <v>50</v>
      </c>
      <c r="C68">
        <v>21</v>
      </c>
      <c r="D68" t="s">
        <v>32</v>
      </c>
      <c r="E68">
        <f>((B68/A68)-1/C68)</f>
        <v>1.8042328042328042</v>
      </c>
    </row>
    <row r="69" spans="1:6" x14ac:dyDescent="0.25">
      <c r="A69">
        <v>27</v>
      </c>
      <c r="B69">
        <v>50</v>
      </c>
      <c r="C69">
        <v>21</v>
      </c>
      <c r="D69" t="s">
        <v>32</v>
      </c>
      <c r="E69">
        <f>((B69/A69)-1/C69)</f>
        <v>1.8042328042328042</v>
      </c>
    </row>
    <row r="70" spans="1:6" x14ac:dyDescent="0.25">
      <c r="A70">
        <v>27</v>
      </c>
      <c r="B70">
        <v>50</v>
      </c>
      <c r="C70">
        <v>21</v>
      </c>
      <c r="D70" t="s">
        <v>39</v>
      </c>
      <c r="E70">
        <f>((B70/A70)-1/C70)</f>
        <v>1.8042328042328042</v>
      </c>
    </row>
    <row r="71" spans="1:6" x14ac:dyDescent="0.25">
      <c r="A71">
        <v>27</v>
      </c>
      <c r="B71">
        <v>50</v>
      </c>
      <c r="C71">
        <v>21</v>
      </c>
      <c r="D71" t="s">
        <v>39</v>
      </c>
      <c r="E71">
        <f>((B71/A71)-1/C71)</f>
        <v>1.8042328042328042</v>
      </c>
      <c r="F71">
        <f>GEOMEAN(E71:E72)</f>
        <v>2.0176940809802506</v>
      </c>
    </row>
    <row r="72" spans="1:6" x14ac:dyDescent="0.25">
      <c r="A72">
        <v>15</v>
      </c>
      <c r="B72">
        <v>35</v>
      </c>
      <c r="C72">
        <v>13</v>
      </c>
      <c r="D72" t="s">
        <v>32</v>
      </c>
      <c r="E72">
        <f>((B72/A72)-1/C72)</f>
        <v>2.2564102564102564</v>
      </c>
    </row>
    <row r="73" spans="1:6" x14ac:dyDescent="0.25">
      <c r="A73">
        <v>15</v>
      </c>
      <c r="B73">
        <v>35</v>
      </c>
      <c r="C73">
        <v>13</v>
      </c>
      <c r="D73" t="s">
        <v>32</v>
      </c>
      <c r="E73">
        <f>((B73/A73)-1/C73)</f>
        <v>2.2564102564102564</v>
      </c>
    </row>
    <row r="74" spans="1:6" x14ac:dyDescent="0.25">
      <c r="A74">
        <v>15</v>
      </c>
      <c r="B74">
        <v>35</v>
      </c>
      <c r="C74">
        <v>13</v>
      </c>
      <c r="D74" t="s">
        <v>39</v>
      </c>
      <c r="E74">
        <f>((B74/A74)-1/C74)</f>
        <v>2.2564102564102564</v>
      </c>
    </row>
    <row r="75" spans="1:6" x14ac:dyDescent="0.25">
      <c r="A75">
        <v>15</v>
      </c>
      <c r="B75">
        <v>35</v>
      </c>
      <c r="C75">
        <v>13</v>
      </c>
      <c r="D75" t="s">
        <v>39</v>
      </c>
      <c r="E75">
        <f>((B75/A75)-1/C75)</f>
        <v>2.2564102564102564</v>
      </c>
    </row>
    <row r="76" spans="1:6" x14ac:dyDescent="0.25">
      <c r="A76">
        <v>15</v>
      </c>
      <c r="B76">
        <v>35</v>
      </c>
      <c r="C76">
        <v>13</v>
      </c>
      <c r="D76" t="s">
        <v>39</v>
      </c>
      <c r="E76">
        <f>((B76/A76)-1/C76)</f>
        <v>2.2564102564102564</v>
      </c>
    </row>
    <row r="77" spans="1:6" x14ac:dyDescent="0.25">
      <c r="A77">
        <v>15</v>
      </c>
      <c r="B77">
        <v>35</v>
      </c>
      <c r="C77">
        <v>13</v>
      </c>
      <c r="D77" t="s">
        <v>39</v>
      </c>
      <c r="E77">
        <f>((B77/A77)-1/C77)</f>
        <v>2.2564102564102564</v>
      </c>
    </row>
    <row r="78" spans="1:6" x14ac:dyDescent="0.25">
      <c r="A78">
        <v>15</v>
      </c>
      <c r="B78">
        <v>35</v>
      </c>
      <c r="C78">
        <v>13</v>
      </c>
      <c r="D78" t="s">
        <v>39</v>
      </c>
      <c r="E78">
        <f>((B78/A78)-1/C78)</f>
        <v>2.2564102564102564</v>
      </c>
    </row>
    <row r="79" spans="1:6" x14ac:dyDescent="0.25">
      <c r="A79">
        <v>15</v>
      </c>
      <c r="B79">
        <v>35</v>
      </c>
      <c r="C79">
        <v>13</v>
      </c>
      <c r="D79" t="s">
        <v>39</v>
      </c>
      <c r="E79">
        <f>((B79/A79)-1/C79)</f>
        <v>2.2564102564102564</v>
      </c>
    </row>
    <row r="80" spans="1:6" x14ac:dyDescent="0.25">
      <c r="A80">
        <v>15</v>
      </c>
      <c r="B80">
        <v>35</v>
      </c>
      <c r="C80">
        <v>13</v>
      </c>
      <c r="D80" t="s">
        <v>39</v>
      </c>
      <c r="E80">
        <f>((B80/A80)-1/C80)</f>
        <v>2.2564102564102564</v>
      </c>
      <c r="F80">
        <f>GEOMEAN(E80:E81)</f>
        <v>2.2564102564102564</v>
      </c>
    </row>
    <row r="81" spans="1:6" x14ac:dyDescent="0.25">
      <c r="A81">
        <v>15</v>
      </c>
      <c r="B81">
        <v>35</v>
      </c>
      <c r="C81">
        <v>13</v>
      </c>
      <c r="D81" t="s">
        <v>32</v>
      </c>
      <c r="E81">
        <f>((B81/A81)-1/C81)</f>
        <v>2.2564102564102564</v>
      </c>
    </row>
    <row r="82" spans="1:6" x14ac:dyDescent="0.25">
      <c r="A82">
        <v>15</v>
      </c>
      <c r="B82">
        <v>35</v>
      </c>
      <c r="C82">
        <v>13</v>
      </c>
      <c r="D82" t="s">
        <v>32</v>
      </c>
      <c r="E82">
        <f>((B82/A82)-1/C82)</f>
        <v>2.2564102564102564</v>
      </c>
    </row>
    <row r="83" spans="1:6" x14ac:dyDescent="0.25">
      <c r="A83">
        <v>15</v>
      </c>
      <c r="B83">
        <v>35</v>
      </c>
      <c r="C83">
        <v>13</v>
      </c>
      <c r="D83" t="s">
        <v>39</v>
      </c>
      <c r="E83">
        <f>((B83/A83)-1/C83)</f>
        <v>2.2564102564102564</v>
      </c>
      <c r="F83">
        <f>GEOMEAN(E83:E84)</f>
        <v>2.2564102564102564</v>
      </c>
    </row>
    <row r="84" spans="1:6" x14ac:dyDescent="0.25">
      <c r="A84">
        <v>15</v>
      </c>
      <c r="B84">
        <v>35</v>
      </c>
      <c r="C84">
        <v>13</v>
      </c>
      <c r="D84" t="s">
        <v>32</v>
      </c>
      <c r="E84">
        <f>((B84/A84)-1/C84)</f>
        <v>2.2564102564102564</v>
      </c>
    </row>
    <row r="85" spans="1:6" x14ac:dyDescent="0.25">
      <c r="A85">
        <v>15</v>
      </c>
      <c r="B85">
        <v>35</v>
      </c>
      <c r="C85">
        <v>13</v>
      </c>
      <c r="D85" t="s">
        <v>32</v>
      </c>
      <c r="E85">
        <f>((B85/A85)-1/C85)</f>
        <v>2.2564102564102564</v>
      </c>
    </row>
    <row r="86" spans="1:6" x14ac:dyDescent="0.25">
      <c r="A86">
        <v>11</v>
      </c>
      <c r="B86">
        <v>30</v>
      </c>
      <c r="C86">
        <v>7</v>
      </c>
      <c r="D86" t="s">
        <v>32</v>
      </c>
      <c r="E86">
        <f>((B86/A86)-1/C86)</f>
        <v>2.5844155844155843</v>
      </c>
    </row>
    <row r="87" spans="1:6" x14ac:dyDescent="0.25">
      <c r="A87">
        <v>11</v>
      </c>
      <c r="B87">
        <v>30</v>
      </c>
      <c r="C87">
        <v>7</v>
      </c>
      <c r="D87" t="s">
        <v>32</v>
      </c>
      <c r="E87">
        <f>((B87/A87)-1/C87)</f>
        <v>2.5844155844155843</v>
      </c>
    </row>
    <row r="88" spans="1:6" x14ac:dyDescent="0.25">
      <c r="A88">
        <v>11</v>
      </c>
      <c r="B88">
        <v>30</v>
      </c>
      <c r="C88">
        <v>7</v>
      </c>
      <c r="D88" t="s">
        <v>39</v>
      </c>
      <c r="E88">
        <f>((B88/A88)-1/C88)</f>
        <v>2.5844155844155843</v>
      </c>
    </row>
    <row r="89" spans="1:6" x14ac:dyDescent="0.25">
      <c r="A89">
        <v>11</v>
      </c>
      <c r="B89">
        <v>30</v>
      </c>
      <c r="C89">
        <v>7</v>
      </c>
      <c r="D89" t="s">
        <v>39</v>
      </c>
      <c r="E89">
        <f>((B89/A89)-1/C89)</f>
        <v>2.5844155844155843</v>
      </c>
    </row>
    <row r="90" spans="1:6" x14ac:dyDescent="0.25">
      <c r="A90">
        <v>11</v>
      </c>
      <c r="B90">
        <v>30</v>
      </c>
      <c r="C90">
        <v>7</v>
      </c>
      <c r="D90" t="s">
        <v>39</v>
      </c>
      <c r="E90">
        <f>((B90/A90)-1/C90)</f>
        <v>2.5844155844155843</v>
      </c>
    </row>
    <row r="91" spans="1:6" x14ac:dyDescent="0.25">
      <c r="A91">
        <v>11</v>
      </c>
      <c r="B91">
        <v>30</v>
      </c>
      <c r="C91">
        <v>7</v>
      </c>
      <c r="D91" t="s">
        <v>39</v>
      </c>
      <c r="E91">
        <f>((B91/A91)-1/C91)</f>
        <v>2.5844155844155843</v>
      </c>
      <c r="F91">
        <f>GEOMEAN(E91:E92)</f>
        <v>2.5844155844155843</v>
      </c>
    </row>
    <row r="92" spans="1:6" x14ac:dyDescent="0.25">
      <c r="A92">
        <v>11</v>
      </c>
      <c r="B92">
        <v>30</v>
      </c>
      <c r="C92">
        <v>7</v>
      </c>
      <c r="D92" t="s">
        <v>32</v>
      </c>
      <c r="E92">
        <f>((B92/A92)-1/C92)</f>
        <v>2.5844155844155843</v>
      </c>
    </row>
    <row r="93" spans="1:6" x14ac:dyDescent="0.25">
      <c r="A93">
        <v>11</v>
      </c>
      <c r="B93">
        <v>30</v>
      </c>
      <c r="C93">
        <v>7</v>
      </c>
      <c r="D93" t="s">
        <v>32</v>
      </c>
      <c r="E93">
        <f>((B93/A93)-1/C93)</f>
        <v>2.5844155844155843</v>
      </c>
    </row>
    <row r="94" spans="1:6" x14ac:dyDescent="0.25">
      <c r="A94">
        <v>11</v>
      </c>
      <c r="B94">
        <v>30</v>
      </c>
      <c r="C94">
        <v>7</v>
      </c>
      <c r="D94" t="s">
        <v>32</v>
      </c>
      <c r="E94">
        <f>((B94/A94)-1/C94)</f>
        <v>2.5844155844155843</v>
      </c>
    </row>
    <row r="95" spans="1:6" x14ac:dyDescent="0.25">
      <c r="A95">
        <v>11</v>
      </c>
      <c r="B95">
        <v>30</v>
      </c>
      <c r="C95">
        <v>7</v>
      </c>
      <c r="D95" t="s">
        <v>32</v>
      </c>
      <c r="E95">
        <f>((B95/A95)-1/C95)</f>
        <v>2.5844155844155843</v>
      </c>
    </row>
    <row r="96" spans="1:6" x14ac:dyDescent="0.25">
      <c r="A96">
        <v>11</v>
      </c>
      <c r="B96">
        <v>30</v>
      </c>
      <c r="C96">
        <v>7</v>
      </c>
      <c r="D96" t="s">
        <v>39</v>
      </c>
      <c r="E96">
        <f>((B96/A96)-1/C96)</f>
        <v>2.5844155844155843</v>
      </c>
      <c r="F96">
        <f>GEOMEAN(E96:E97)</f>
        <v>2.5844155844155843</v>
      </c>
    </row>
    <row r="97" spans="1:5" x14ac:dyDescent="0.25">
      <c r="A97">
        <v>11</v>
      </c>
      <c r="B97">
        <v>30</v>
      </c>
      <c r="C97">
        <v>7</v>
      </c>
      <c r="D97" t="s">
        <v>32</v>
      </c>
      <c r="E97">
        <f>((B97/A97)-1/C97)</f>
        <v>2.5844155844155843</v>
      </c>
    </row>
    <row r="98" spans="1:5" x14ac:dyDescent="0.25">
      <c r="A98">
        <v>11</v>
      </c>
      <c r="B98">
        <v>30</v>
      </c>
      <c r="C98">
        <v>7</v>
      </c>
      <c r="D98" t="s">
        <v>39</v>
      </c>
      <c r="E98">
        <f>((B98/A98)-1/C98)</f>
        <v>2.5844155844155843</v>
      </c>
    </row>
    <row r="99" spans="1:5" x14ac:dyDescent="0.25">
      <c r="A99">
        <v>11</v>
      </c>
      <c r="B99">
        <v>30</v>
      </c>
      <c r="C99">
        <v>7</v>
      </c>
      <c r="D99" t="s">
        <v>39</v>
      </c>
      <c r="E99">
        <f>((B99/A99)-1/C99)</f>
        <v>2.5844155844155843</v>
      </c>
    </row>
  </sheetData>
  <sortState ref="A2:F99">
    <sortCondition ref="E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2_Discounting_exp_2025-11-05_23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2025-11-05T18:17:31Z</dcterms:created>
  <dcterms:modified xsi:type="dcterms:W3CDTF">2025-11-06T09:49:17Z</dcterms:modified>
</cp:coreProperties>
</file>